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IKKO\Separation Process\Customer Bpk BIMO\Product Certificate\"/>
    </mc:Choice>
  </mc:AlternateContent>
  <xr:revisionPtr revIDLastSave="0" documentId="13_ncr:1_{EA72C560-FFD2-4965-922B-11315EE83D4E}" xr6:coauthVersionLast="47" xr6:coauthVersionMax="47" xr10:uidLastSave="{00000000-0000-0000-0000-000000000000}"/>
  <bookViews>
    <workbookView xWindow="-120" yWindow="-120" windowWidth="20730" windowHeight="11160" tabRatio="735" activeTab="1" xr2:uid="{91270FBF-B4D0-41DB-B0D2-A0F59941E8A6}"/>
  </bookViews>
  <sheets>
    <sheet name="By Product" sheetId="30" r:id="rId1"/>
    <sheet name="AVG" sheetId="4" r:id="rId2"/>
    <sheet name="SPR Batch 1" sheetId="5" r:id="rId3"/>
    <sheet name="SPR Batch 2" sheetId="1" r:id="rId4"/>
    <sheet name="SPR Batch 3 " sheetId="2" r:id="rId5"/>
    <sheet name="SPR Batch 4 " sheetId="3" r:id="rId6"/>
    <sheet name="SPR Batch 5" sheetId="6" r:id="rId7"/>
    <sheet name="SPR Batch6" sheetId="7" r:id="rId8"/>
    <sheet name="SPR Batch 7" sheetId="10" r:id="rId9"/>
    <sheet name="SPR Batch8" sheetId="12" r:id="rId10"/>
    <sheet name="SPR Batch9" sheetId="13" r:id="rId11"/>
    <sheet name="SPR Batch10" sheetId="14" r:id="rId12"/>
    <sheet name="SPR Batch11" sheetId="15" r:id="rId13"/>
    <sheet name="SPR Batch12" sheetId="16" r:id="rId14"/>
    <sheet name="SPR Batch13" sheetId="17" r:id="rId15"/>
    <sheet name="SPR Batch14" sheetId="18" r:id="rId16"/>
    <sheet name="SPR Batch15" sheetId="19" r:id="rId17"/>
    <sheet name="SPR Batch16" sheetId="20" r:id="rId18"/>
    <sheet name="SPR Batch17" sheetId="21" r:id="rId19"/>
    <sheet name="SPR Batch18" sheetId="22" r:id="rId20"/>
    <sheet name="SPR Batch19" sheetId="23" r:id="rId21"/>
    <sheet name="SPR Batch20" sheetId="24" r:id="rId22"/>
    <sheet name="SPR Batch21" sheetId="25" r:id="rId23"/>
    <sheet name="SPR Batch22" sheetId="26" r:id="rId24"/>
    <sheet name="SPR Batch23" sheetId="28" r:id="rId25"/>
    <sheet name="SPR Batch24" sheetId="29" r:id="rId26"/>
    <sheet name="SPR Batch25" sheetId="31" r:id="rId2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3" i="13" l="1"/>
  <c r="K53" i="13"/>
  <c r="F40" i="29" l="1"/>
  <c r="AB6" i="4"/>
  <c r="AB8" i="4"/>
  <c r="H112" i="31"/>
  <c r="H69" i="31"/>
  <c r="F8" i="31"/>
  <c r="F7" i="31"/>
  <c r="I17" i="31"/>
  <c r="B107" i="31" l="1"/>
  <c r="E105" i="31"/>
  <c r="E106" i="31" s="1"/>
  <c r="E107" i="31" s="1"/>
  <c r="H106" i="31"/>
  <c r="H100" i="31"/>
  <c r="H99" i="31"/>
  <c r="H98" i="31"/>
  <c r="H97" i="31"/>
  <c r="H96" i="31"/>
  <c r="H95" i="31"/>
  <c r="H94" i="31"/>
  <c r="C69" i="31"/>
  <c r="B69" i="31"/>
  <c r="E65" i="31"/>
  <c r="H56" i="31"/>
  <c r="H55" i="31"/>
  <c r="H54" i="31"/>
  <c r="H53" i="31"/>
  <c r="H52" i="31"/>
  <c r="H51" i="31"/>
  <c r="H50" i="31"/>
  <c r="H49" i="31"/>
  <c r="H48" i="31"/>
  <c r="H47" i="31"/>
  <c r="H18" i="31"/>
  <c r="H17" i="31"/>
  <c r="B18" i="31"/>
  <c r="B17" i="31"/>
  <c r="C112" i="31"/>
  <c r="B112" i="31"/>
  <c r="G108" i="31"/>
  <c r="F108" i="31"/>
  <c r="H107" i="31"/>
  <c r="H105" i="31"/>
  <c r="H104" i="31"/>
  <c r="H103" i="31"/>
  <c r="H102" i="31"/>
  <c r="H101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E80" i="3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B80" i="3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101" i="31" s="1"/>
  <c r="B102" i="31" s="1"/>
  <c r="B103" i="31" s="1"/>
  <c r="B104" i="31" s="1"/>
  <c r="B105" i="31" s="1"/>
  <c r="H79" i="31"/>
  <c r="G65" i="31"/>
  <c r="F65" i="31"/>
  <c r="H64" i="31"/>
  <c r="H63" i="31"/>
  <c r="H62" i="31"/>
  <c r="H61" i="31"/>
  <c r="H60" i="31"/>
  <c r="H59" i="31"/>
  <c r="H58" i="31"/>
  <c r="H5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E28" i="3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B28" i="3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57" i="31" s="1"/>
  <c r="B58" i="31" s="1"/>
  <c r="B59" i="31" s="1"/>
  <c r="B60" i="31" s="1"/>
  <c r="B61" i="31" s="1"/>
  <c r="B62" i="31" s="1"/>
  <c r="B63" i="31" s="1"/>
  <c r="B64" i="31" s="1"/>
  <c r="H27" i="31"/>
  <c r="I18" i="31"/>
  <c r="G8" i="31"/>
  <c r="W49" i="30"/>
  <c r="X49" i="30"/>
  <c r="Y49" i="30"/>
  <c r="Z49" i="30"/>
  <c r="AA49" i="30"/>
  <c r="AB49" i="30"/>
  <c r="AC49" i="30"/>
  <c r="AD49" i="30"/>
  <c r="W37" i="30"/>
  <c r="X37" i="30"/>
  <c r="Y37" i="30"/>
  <c r="Z37" i="30"/>
  <c r="AA37" i="30"/>
  <c r="AB37" i="30"/>
  <c r="AC37" i="30"/>
  <c r="AD37" i="30"/>
  <c r="W25" i="30"/>
  <c r="X25" i="30"/>
  <c r="Y25" i="30"/>
  <c r="Z25" i="30"/>
  <c r="AA25" i="30"/>
  <c r="AB25" i="30"/>
  <c r="AC25" i="30"/>
  <c r="AD25" i="30"/>
  <c r="W12" i="30"/>
  <c r="X12" i="30"/>
  <c r="Y12" i="30"/>
  <c r="Z12" i="30"/>
  <c r="AA12" i="30"/>
  <c r="AB12" i="30"/>
  <c r="AC12" i="30"/>
  <c r="AD12" i="30"/>
  <c r="Z45" i="30"/>
  <c r="Z33" i="30"/>
  <c r="Z21" i="30"/>
  <c r="Z8" i="30"/>
  <c r="Y47" i="30"/>
  <c r="Y35" i="30"/>
  <c r="Y23" i="30"/>
  <c r="Y10" i="30"/>
  <c r="X48" i="30"/>
  <c r="X36" i="30"/>
  <c r="X24" i="30"/>
  <c r="X11" i="30"/>
  <c r="W47" i="30"/>
  <c r="W35" i="30"/>
  <c r="W23" i="30"/>
  <c r="W10" i="30"/>
  <c r="V41" i="30"/>
  <c r="V29" i="30"/>
  <c r="V17" i="30"/>
  <c r="V4" i="30"/>
  <c r="U46" i="30"/>
  <c r="U34" i="30"/>
  <c r="U22" i="30"/>
  <c r="U9" i="30"/>
  <c r="T46" i="30"/>
  <c r="T34" i="30"/>
  <c r="T22" i="30"/>
  <c r="T9" i="30"/>
  <c r="S41" i="30"/>
  <c r="S29" i="30"/>
  <c r="S17" i="30"/>
  <c r="S4" i="30"/>
  <c r="R47" i="30"/>
  <c r="R35" i="30"/>
  <c r="R23" i="30"/>
  <c r="R10" i="30"/>
  <c r="Q47" i="30"/>
  <c r="Q35" i="30"/>
  <c r="Q23" i="30"/>
  <c r="Q10" i="30"/>
  <c r="P41" i="30"/>
  <c r="P29" i="30"/>
  <c r="P17" i="30"/>
  <c r="P4" i="30"/>
  <c r="O43" i="30"/>
  <c r="O31" i="30"/>
  <c r="O19" i="30"/>
  <c r="O6" i="30"/>
  <c r="N44" i="30"/>
  <c r="K46" i="30"/>
  <c r="M47" i="30"/>
  <c r="M43" i="30"/>
  <c r="M35" i="30"/>
  <c r="M31" i="30"/>
  <c r="N32" i="30"/>
  <c r="N20" i="30"/>
  <c r="N7" i="30"/>
  <c r="L46" i="30"/>
  <c r="L47" i="30"/>
  <c r="L34" i="30"/>
  <c r="L35" i="30"/>
  <c r="L33" i="30"/>
  <c r="L22" i="30"/>
  <c r="L9" i="30"/>
  <c r="N104" i="13"/>
  <c r="L104" i="13"/>
  <c r="M104" i="13"/>
  <c r="K104" i="13"/>
  <c r="L23" i="30"/>
  <c r="M23" i="30"/>
  <c r="M19" i="30"/>
  <c r="M10" i="30"/>
  <c r="M6" i="30"/>
  <c r="L21" i="30"/>
  <c r="L10" i="30"/>
  <c r="L8" i="30"/>
  <c r="K47" i="30"/>
  <c r="K45" i="30"/>
  <c r="K43" i="30"/>
  <c r="K40" i="30"/>
  <c r="K35" i="30"/>
  <c r="K34" i="30"/>
  <c r="K33" i="30"/>
  <c r="K31" i="30"/>
  <c r="K28" i="30"/>
  <c r="K23" i="30"/>
  <c r="K22" i="30"/>
  <c r="K21" i="30"/>
  <c r="K19" i="30"/>
  <c r="K16" i="30"/>
  <c r="K10" i="30"/>
  <c r="K9" i="30"/>
  <c r="K8" i="30"/>
  <c r="K6" i="30"/>
  <c r="K3" i="30"/>
  <c r="J48" i="30"/>
  <c r="J47" i="30"/>
  <c r="J40" i="30"/>
  <c r="J36" i="30"/>
  <c r="J35" i="30"/>
  <c r="J28" i="30"/>
  <c r="J24" i="30"/>
  <c r="J23" i="30"/>
  <c r="J16" i="30"/>
  <c r="J11" i="30"/>
  <c r="J10" i="30"/>
  <c r="J3" i="30"/>
  <c r="I48" i="30"/>
  <c r="I47" i="30"/>
  <c r="I43" i="30"/>
  <c r="I36" i="30"/>
  <c r="I35" i="30"/>
  <c r="I31" i="30"/>
  <c r="I24" i="30"/>
  <c r="I23" i="30"/>
  <c r="I19" i="30"/>
  <c r="I11" i="30"/>
  <c r="I10" i="30"/>
  <c r="I6" i="30"/>
  <c r="H46" i="30"/>
  <c r="H45" i="30"/>
  <c r="H43" i="30"/>
  <c r="H34" i="30"/>
  <c r="H33" i="30"/>
  <c r="H31" i="30"/>
  <c r="H22" i="30"/>
  <c r="H21" i="30"/>
  <c r="H19" i="30"/>
  <c r="H9" i="30"/>
  <c r="H8" i="30"/>
  <c r="H6" i="30"/>
  <c r="G48" i="30"/>
  <c r="G47" i="30"/>
  <c r="G46" i="30"/>
  <c r="G45" i="30"/>
  <c r="G43" i="30"/>
  <c r="G36" i="30"/>
  <c r="G35" i="30"/>
  <c r="G34" i="30"/>
  <c r="G33" i="30"/>
  <c r="G31" i="30"/>
  <c r="G24" i="30"/>
  <c r="G23" i="30"/>
  <c r="G22" i="30"/>
  <c r="G21" i="30"/>
  <c r="G19" i="30"/>
  <c r="G11" i="30"/>
  <c r="G10" i="30"/>
  <c r="G9" i="30"/>
  <c r="G8" i="30"/>
  <c r="G6" i="30"/>
  <c r="F47" i="30"/>
  <c r="F45" i="30"/>
  <c r="F44" i="30"/>
  <c r="B106" i="31" l="1"/>
  <c r="E108" i="31"/>
  <c r="B94" i="31"/>
  <c r="B95" i="31" s="1"/>
  <c r="B96" i="31" s="1"/>
  <c r="B97" i="31" s="1"/>
  <c r="B98" i="31" s="1"/>
  <c r="B99" i="31" s="1"/>
  <c r="B100" i="31" s="1"/>
  <c r="B47" i="31"/>
  <c r="B48" i="31" s="1"/>
  <c r="B49" i="31" s="1"/>
  <c r="B50" i="31" s="1"/>
  <c r="B51" i="31" s="1"/>
  <c r="B52" i="31" s="1"/>
  <c r="B53" i="31" s="1"/>
  <c r="B54" i="31" s="1"/>
  <c r="B55" i="31" s="1"/>
  <c r="B56" i="31" s="1"/>
  <c r="F17" i="31"/>
  <c r="G17" i="31" s="1"/>
  <c r="G7" i="31"/>
  <c r="F18" i="31"/>
  <c r="G18" i="31" s="1"/>
  <c r="H65" i="31"/>
  <c r="F70" i="31" s="1"/>
  <c r="H108" i="31"/>
  <c r="F43" i="30"/>
  <c r="F35" i="30"/>
  <c r="F33" i="30"/>
  <c r="F32" i="30"/>
  <c r="F31" i="30"/>
  <c r="F23" i="30"/>
  <c r="F21" i="30"/>
  <c r="F20" i="30"/>
  <c r="F19" i="30"/>
  <c r="F10" i="30"/>
  <c r="F8" i="30"/>
  <c r="F7" i="30"/>
  <c r="F6" i="30"/>
  <c r="E47" i="30"/>
  <c r="E46" i="30"/>
  <c r="E45" i="30"/>
  <c r="E44" i="30"/>
  <c r="E43" i="30"/>
  <c r="E42" i="30"/>
  <c r="E35" i="30"/>
  <c r="E34" i="30"/>
  <c r="E33" i="30"/>
  <c r="E32" i="30"/>
  <c r="E31" i="30"/>
  <c r="E30" i="30"/>
  <c r="V49" i="30"/>
  <c r="U49" i="30"/>
  <c r="T49" i="30"/>
  <c r="S49" i="30"/>
  <c r="R49" i="30"/>
  <c r="Q49" i="30"/>
  <c r="P49" i="30"/>
  <c r="O49" i="30"/>
  <c r="N49" i="30"/>
  <c r="M49" i="30"/>
  <c r="K49" i="30"/>
  <c r="J49" i="30"/>
  <c r="I49" i="30"/>
  <c r="H49" i="30"/>
  <c r="G49" i="30"/>
  <c r="F49" i="30"/>
  <c r="E49" i="30"/>
  <c r="D49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E23" i="30"/>
  <c r="E22" i="30"/>
  <c r="E21" i="30"/>
  <c r="E20" i="30"/>
  <c r="E19" i="30"/>
  <c r="E18" i="30"/>
  <c r="E10" i="30"/>
  <c r="E9" i="30"/>
  <c r="E8" i="30"/>
  <c r="E7" i="30"/>
  <c r="E12" i="30" s="1"/>
  <c r="E6" i="30"/>
  <c r="E5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D12" i="30"/>
  <c r="D41" i="30"/>
  <c r="D40" i="30"/>
  <c r="D29" i="30"/>
  <c r="D28" i="30"/>
  <c r="D17" i="30"/>
  <c r="D16" i="30"/>
  <c r="D4" i="30"/>
  <c r="D3" i="30"/>
  <c r="A41" i="30"/>
  <c r="A42" i="30" s="1"/>
  <c r="A43" i="30" s="1"/>
  <c r="A44" i="30" s="1"/>
  <c r="A45" i="30" s="1"/>
  <c r="A46" i="30" s="1"/>
  <c r="A47" i="30" s="1"/>
  <c r="A48" i="30" s="1"/>
  <c r="A29" i="30"/>
  <c r="A30" i="30" s="1"/>
  <c r="A31" i="30" s="1"/>
  <c r="A32" i="30" s="1"/>
  <c r="A33" i="30" s="1"/>
  <c r="A34" i="30" s="1"/>
  <c r="A35" i="30" s="1"/>
  <c r="A36" i="30" s="1"/>
  <c r="A17" i="30"/>
  <c r="A18" i="30" s="1"/>
  <c r="A19" i="30" s="1"/>
  <c r="A20" i="30" s="1"/>
  <c r="A21" i="30" s="1"/>
  <c r="A22" i="30" s="1"/>
  <c r="A23" i="30" s="1"/>
  <c r="A24" i="30" s="1"/>
  <c r="A4" i="30"/>
  <c r="A5" i="30" s="1"/>
  <c r="A6" i="30" s="1"/>
  <c r="A7" i="30" s="1"/>
  <c r="A8" i="30" s="1"/>
  <c r="A9" i="30" s="1"/>
  <c r="A10" i="30" s="1"/>
  <c r="A11" i="30" s="1"/>
  <c r="I19" i="29"/>
  <c r="H122" i="29"/>
  <c r="H123" i="29" s="1"/>
  <c r="H85" i="29"/>
  <c r="K34" i="29"/>
  <c r="H40" i="29" s="1"/>
  <c r="F122" i="29"/>
  <c r="K101" i="29"/>
  <c r="F85" i="29"/>
  <c r="K65" i="29"/>
  <c r="F9" i="29"/>
  <c r="F20" i="29"/>
  <c r="G20" i="29" s="1"/>
  <c r="I20" i="29"/>
  <c r="I18" i="29"/>
  <c r="K7" i="29"/>
  <c r="F28" i="29" s="1"/>
  <c r="F29" i="29" s="1"/>
  <c r="C122" i="29"/>
  <c r="B122" i="29"/>
  <c r="H117" i="29"/>
  <c r="G123" i="29"/>
  <c r="F123" i="29"/>
  <c r="E123" i="29"/>
  <c r="G118" i="29"/>
  <c r="F118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E96" i="29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B96" i="29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B111" i="29" s="1"/>
  <c r="B112" i="29" s="1"/>
  <c r="B113" i="29" s="1"/>
  <c r="B114" i="29" s="1"/>
  <c r="B115" i="29" s="1"/>
  <c r="B116" i="29" s="1"/>
  <c r="H95" i="29"/>
  <c r="C85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B73" i="29" s="1"/>
  <c r="B74" i="29" s="1"/>
  <c r="B75" i="29" s="1"/>
  <c r="B76" i="29" s="1"/>
  <c r="B77" i="29" s="1"/>
  <c r="B78" i="29" s="1"/>
  <c r="B79" i="29" s="1"/>
  <c r="B80" i="29" s="1"/>
  <c r="B85" i="29" s="1"/>
  <c r="G81" i="29"/>
  <c r="F8" i="29" s="1"/>
  <c r="F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E51" i="29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H50" i="29"/>
  <c r="C28" i="29"/>
  <c r="C29" i="29" s="1"/>
  <c r="C30" i="29" s="1"/>
  <c r="C31" i="29" s="1"/>
  <c r="C32" i="29" s="1"/>
  <c r="C33" i="29" s="1"/>
  <c r="C34" i="29" s="1"/>
  <c r="C35" i="29" s="1"/>
  <c r="C40" i="29" s="1"/>
  <c r="G9" i="29"/>
  <c r="G36" i="29"/>
  <c r="F7" i="29" s="1"/>
  <c r="F18" i="29" s="1"/>
  <c r="G18" i="29" s="1"/>
  <c r="E29" i="29"/>
  <c r="E30" i="29" s="1"/>
  <c r="E31" i="29" s="1"/>
  <c r="E32" i="29" s="1"/>
  <c r="E33" i="29" s="1"/>
  <c r="E34" i="29" s="1"/>
  <c r="E35" i="29" s="1"/>
  <c r="E36" i="29" s="1"/>
  <c r="B40" i="29"/>
  <c r="F75" i="28"/>
  <c r="G113" i="31" l="1"/>
  <c r="E113" i="31"/>
  <c r="F113" i="31"/>
  <c r="G70" i="31"/>
  <c r="E70" i="31"/>
  <c r="I122" i="29"/>
  <c r="I123" i="29" s="1"/>
  <c r="F19" i="29"/>
  <c r="G19" i="29" s="1"/>
  <c r="G8" i="29"/>
  <c r="B117" i="29"/>
  <c r="H118" i="29"/>
  <c r="H81" i="29"/>
  <c r="F30" i="29"/>
  <c r="H29" i="29"/>
  <c r="H28" i="29"/>
  <c r="G86" i="29"/>
  <c r="E86" i="29"/>
  <c r="F86" i="29"/>
  <c r="G7" i="29"/>
  <c r="K75" i="28"/>
  <c r="N77" i="28"/>
  <c r="M77" i="28"/>
  <c r="L74" i="28"/>
  <c r="B79" i="28"/>
  <c r="H64" i="28"/>
  <c r="H63" i="28"/>
  <c r="H62" i="28"/>
  <c r="H61" i="28"/>
  <c r="H60" i="28"/>
  <c r="H59" i="28"/>
  <c r="H58" i="28"/>
  <c r="H57" i="28"/>
  <c r="H56" i="28"/>
  <c r="H55" i="28"/>
  <c r="H54" i="28"/>
  <c r="B25" i="28"/>
  <c r="C79" i="28"/>
  <c r="G75" i="28"/>
  <c r="F7" i="28" s="1"/>
  <c r="H74" i="28"/>
  <c r="H73" i="28"/>
  <c r="H72" i="28"/>
  <c r="H71" i="28"/>
  <c r="H70" i="28"/>
  <c r="H69" i="28"/>
  <c r="H68" i="28"/>
  <c r="H67" i="28"/>
  <c r="H66" i="28"/>
  <c r="H65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E26" i="28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H25" i="28"/>
  <c r="H188" i="22"/>
  <c r="F7" i="22"/>
  <c r="E7" i="22"/>
  <c r="F30" i="26"/>
  <c r="G7" i="26"/>
  <c r="M54" i="4"/>
  <c r="M39" i="4"/>
  <c r="M24" i="4"/>
  <c r="H70" i="31" l="1"/>
  <c r="I69" i="31"/>
  <c r="H113" i="31"/>
  <c r="I112" i="31"/>
  <c r="F31" i="29"/>
  <c r="H30" i="29"/>
  <c r="H86" i="29"/>
  <c r="I85" i="29"/>
  <c r="I86" i="29" s="1"/>
  <c r="G7" i="28"/>
  <c r="F16" i="28"/>
  <c r="G16" i="28" s="1"/>
  <c r="H75" i="28"/>
  <c r="H79" i="28" s="1"/>
  <c r="E75" i="28"/>
  <c r="F80" i="28"/>
  <c r="Z26" i="4" s="1"/>
  <c r="M44" i="14"/>
  <c r="L44" i="14"/>
  <c r="F7" i="14"/>
  <c r="I113" i="31" l="1"/>
  <c r="I70" i="31"/>
  <c r="F32" i="29"/>
  <c r="H31" i="29"/>
  <c r="G80" i="28"/>
  <c r="Z41" i="4" s="1"/>
  <c r="E80" i="28"/>
  <c r="Z8" i="4" s="1"/>
  <c r="H80" i="28"/>
  <c r="Z56" i="4" s="1"/>
  <c r="I79" i="28"/>
  <c r="H56" i="4"/>
  <c r="H41" i="4"/>
  <c r="H26" i="4"/>
  <c r="H8" i="4"/>
  <c r="H6" i="4"/>
  <c r="G11" i="4"/>
  <c r="G10" i="4"/>
  <c r="G9" i="4"/>
  <c r="G8" i="4"/>
  <c r="G6" i="4"/>
  <c r="L9" i="4"/>
  <c r="L123" i="13"/>
  <c r="K123" i="13"/>
  <c r="J29" i="4"/>
  <c r="J11" i="4"/>
  <c r="J58" i="4"/>
  <c r="J43" i="4"/>
  <c r="J28" i="4"/>
  <c r="J10" i="4"/>
  <c r="J3" i="4"/>
  <c r="E57" i="4"/>
  <c r="E42" i="4"/>
  <c r="E27" i="4"/>
  <c r="E9" i="4"/>
  <c r="E56" i="4"/>
  <c r="E41" i="4"/>
  <c r="F40" i="4"/>
  <c r="E40" i="4"/>
  <c r="E26" i="4"/>
  <c r="E8" i="4"/>
  <c r="F55" i="4"/>
  <c r="E55" i="4"/>
  <c r="E25" i="4"/>
  <c r="E7" i="4"/>
  <c r="E54" i="4"/>
  <c r="E39" i="4"/>
  <c r="E24" i="4"/>
  <c r="E6" i="4"/>
  <c r="E53" i="4"/>
  <c r="E38" i="4"/>
  <c r="E23" i="4"/>
  <c r="E5" i="4"/>
  <c r="D52" i="4"/>
  <c r="D37" i="4"/>
  <c r="D22" i="4"/>
  <c r="D4" i="4"/>
  <c r="D51" i="4"/>
  <c r="D36" i="4"/>
  <c r="D21" i="4"/>
  <c r="D3" i="4"/>
  <c r="N7" i="4"/>
  <c r="K8" i="14"/>
  <c r="F33" i="29" l="1"/>
  <c r="H32" i="29"/>
  <c r="E41" i="29"/>
  <c r="I80" i="28"/>
  <c r="U27" i="4"/>
  <c r="B188" i="22"/>
  <c r="L27" i="22"/>
  <c r="L25" i="22"/>
  <c r="K25" i="22"/>
  <c r="G184" i="22"/>
  <c r="K7" i="26"/>
  <c r="X44" i="4"/>
  <c r="X11" i="4"/>
  <c r="F34" i="29" l="1"/>
  <c r="H33" i="29"/>
  <c r="H41" i="29"/>
  <c r="I40" i="29"/>
  <c r="H61" i="25"/>
  <c r="M58" i="4"/>
  <c r="M43" i="4"/>
  <c r="M28" i="4"/>
  <c r="M10" i="4"/>
  <c r="F8" i="14"/>
  <c r="B71" i="14"/>
  <c r="C71" i="14"/>
  <c r="F61" i="14"/>
  <c r="F62" i="14" s="1"/>
  <c r="F63" i="14" s="1"/>
  <c r="F64" i="14" s="1"/>
  <c r="F65" i="14" s="1"/>
  <c r="F66" i="14" s="1"/>
  <c r="F35" i="29" l="1"/>
  <c r="H35" i="29" s="1"/>
  <c r="H34" i="29"/>
  <c r="F36" i="29"/>
  <c r="F16" i="26"/>
  <c r="F17" i="26" s="1"/>
  <c r="C30" i="26"/>
  <c r="B30" i="26"/>
  <c r="G26" i="26"/>
  <c r="E17" i="26"/>
  <c r="E18" i="26" s="1"/>
  <c r="E19" i="26" s="1"/>
  <c r="E20" i="26" s="1"/>
  <c r="E21" i="26" s="1"/>
  <c r="E22" i="26" s="1"/>
  <c r="E23" i="26" s="1"/>
  <c r="E24" i="26" s="1"/>
  <c r="E25" i="26" s="1"/>
  <c r="E26" i="26" s="1"/>
  <c r="F7" i="26"/>
  <c r="E54" i="25"/>
  <c r="E55" i="25"/>
  <c r="E56" i="25" s="1"/>
  <c r="H55" i="25"/>
  <c r="K7" i="19"/>
  <c r="H26" i="24"/>
  <c r="E26" i="19"/>
  <c r="E27" i="19"/>
  <c r="F16" i="19"/>
  <c r="F17" i="19" s="1"/>
  <c r="F18" i="19" s="1"/>
  <c r="F19" i="19" s="1"/>
  <c r="F20" i="19" s="1"/>
  <c r="F21" i="19" s="1"/>
  <c r="F22" i="19" s="1"/>
  <c r="F23" i="19" s="1"/>
  <c r="F24" i="19" s="1"/>
  <c r="H36" i="29" l="1"/>
  <c r="F18" i="26"/>
  <c r="F19" i="26" s="1"/>
  <c r="F20" i="26" s="1"/>
  <c r="F21" i="26" s="1"/>
  <c r="F22" i="26" s="1"/>
  <c r="F23" i="26" s="1"/>
  <c r="F24" i="26" s="1"/>
  <c r="F25" i="26" s="1"/>
  <c r="H17" i="26"/>
  <c r="H16" i="26"/>
  <c r="H18" i="26"/>
  <c r="F25" i="19"/>
  <c r="F26" i="19"/>
  <c r="H26" i="19" s="1"/>
  <c r="F41" i="29" l="1"/>
  <c r="I41" i="29" s="1"/>
  <c r="G41" i="29"/>
  <c r="H19" i="26"/>
  <c r="H20" i="26"/>
  <c r="F27" i="19"/>
  <c r="F28" i="19"/>
  <c r="H21" i="26" l="1"/>
  <c r="C61" i="25"/>
  <c r="B61" i="25"/>
  <c r="G57" i="25"/>
  <c r="F7" i="25" s="1"/>
  <c r="G7" i="25" s="1"/>
  <c r="F57" i="25"/>
  <c r="H56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E17" i="25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H16" i="25"/>
  <c r="K7" i="25"/>
  <c r="H22" i="26" l="1"/>
  <c r="E57" i="25"/>
  <c r="H57" i="25"/>
  <c r="G62" i="25"/>
  <c r="E62" i="25"/>
  <c r="F62" i="25"/>
  <c r="X29" i="4" s="1"/>
  <c r="H23" i="26" l="1"/>
  <c r="H62" i="25"/>
  <c r="X59" i="4" s="1"/>
  <c r="I61" i="25"/>
  <c r="I62" i="25" l="1"/>
  <c r="H24" i="26"/>
  <c r="F99" i="16"/>
  <c r="B103" i="16"/>
  <c r="V37" i="4"/>
  <c r="V4" i="4"/>
  <c r="H25" i="26" l="1"/>
  <c r="H26" i="26" s="1"/>
  <c r="F26" i="26"/>
  <c r="F26" i="24"/>
  <c r="F18" i="24"/>
  <c r="F19" i="24"/>
  <c r="F20" i="24" s="1"/>
  <c r="F17" i="24"/>
  <c r="H16" i="24"/>
  <c r="K7" i="24"/>
  <c r="G50" i="20"/>
  <c r="G101" i="21"/>
  <c r="G64" i="23"/>
  <c r="F7" i="23" s="1"/>
  <c r="G7" i="23" s="1"/>
  <c r="B105" i="21"/>
  <c r="F7" i="20"/>
  <c r="F7" i="21"/>
  <c r="G7" i="21" s="1"/>
  <c r="H54" i="20"/>
  <c r="S37" i="4"/>
  <c r="E23" i="24"/>
  <c r="E24" i="24"/>
  <c r="E25" i="24" s="1"/>
  <c r="C30" i="24"/>
  <c r="B30" i="24"/>
  <c r="G26" i="24"/>
  <c r="F7" i="24" s="1"/>
  <c r="G7" i="24" s="1"/>
  <c r="H18" i="24"/>
  <c r="H17" i="24"/>
  <c r="E17" i="24"/>
  <c r="E18" i="24" s="1"/>
  <c r="E19" i="24" s="1"/>
  <c r="E20" i="24" s="1"/>
  <c r="E21" i="24" s="1"/>
  <c r="E22" i="24" s="1"/>
  <c r="F64" i="23"/>
  <c r="H52" i="23"/>
  <c r="H43" i="23"/>
  <c r="H33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4" i="23"/>
  <c r="H35" i="23"/>
  <c r="H36" i="23"/>
  <c r="H37" i="23"/>
  <c r="H38" i="23"/>
  <c r="H39" i="23"/>
  <c r="H40" i="23"/>
  <c r="H41" i="23"/>
  <c r="H42" i="23"/>
  <c r="H44" i="23"/>
  <c r="H45" i="23"/>
  <c r="H46" i="23"/>
  <c r="H47" i="23"/>
  <c r="H48" i="23"/>
  <c r="H49" i="23"/>
  <c r="H50" i="23"/>
  <c r="H51" i="23"/>
  <c r="H53" i="23"/>
  <c r="H54" i="23"/>
  <c r="H55" i="23"/>
  <c r="H56" i="23"/>
  <c r="H57" i="23"/>
  <c r="H58" i="23"/>
  <c r="H59" i="23"/>
  <c r="H60" i="23"/>
  <c r="H61" i="23"/>
  <c r="H62" i="23"/>
  <c r="H63" i="23"/>
  <c r="E64" i="23"/>
  <c r="E58" i="23"/>
  <c r="E59" i="23"/>
  <c r="E60" i="23" s="1"/>
  <c r="E61" i="23" s="1"/>
  <c r="E62" i="23" s="1"/>
  <c r="E63" i="23" s="1"/>
  <c r="C68" i="23"/>
  <c r="B68" i="23"/>
  <c r="H20" i="23"/>
  <c r="H19" i="23"/>
  <c r="H18" i="23"/>
  <c r="H17" i="23"/>
  <c r="E17" i="23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H16" i="23"/>
  <c r="E182" i="22"/>
  <c r="E183" i="22"/>
  <c r="E17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E18" i="22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4" i="22" s="1"/>
  <c r="H189" i="22"/>
  <c r="U57" i="4" s="1"/>
  <c r="F189" i="22"/>
  <c r="E189" i="22"/>
  <c r="U9" i="4" s="1"/>
  <c r="I188" i="22"/>
  <c r="F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6" i="22"/>
  <c r="G7" i="22"/>
  <c r="E48" i="20"/>
  <c r="E49" i="20"/>
  <c r="H48" i="20"/>
  <c r="F50" i="20"/>
  <c r="K50" i="20" s="1"/>
  <c r="L50" i="20" s="1"/>
  <c r="F101" i="21"/>
  <c r="E101" i="21"/>
  <c r="E97" i="21"/>
  <c r="E98" i="21" s="1"/>
  <c r="E99" i="21" s="1"/>
  <c r="E100" i="21" s="1"/>
  <c r="H100" i="21"/>
  <c r="H99" i="21"/>
  <c r="H92" i="21"/>
  <c r="H91" i="21"/>
  <c r="H90" i="21"/>
  <c r="H89" i="21"/>
  <c r="H88" i="21"/>
  <c r="H87" i="21"/>
  <c r="H86" i="21"/>
  <c r="H85" i="21"/>
  <c r="H43" i="20"/>
  <c r="H42" i="20"/>
  <c r="H41" i="20"/>
  <c r="E17" i="20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98" i="21"/>
  <c r="H97" i="21"/>
  <c r="H96" i="21"/>
  <c r="H95" i="21"/>
  <c r="H94" i="21"/>
  <c r="H93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E17" i="2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H16" i="21"/>
  <c r="C54" i="20"/>
  <c r="B54" i="20"/>
  <c r="G7" i="20"/>
  <c r="H49" i="20"/>
  <c r="H47" i="20"/>
  <c r="H46" i="20"/>
  <c r="H45" i="20"/>
  <c r="H44" i="20"/>
  <c r="H40" i="20"/>
  <c r="H39" i="20"/>
  <c r="H38" i="20"/>
  <c r="H37" i="20"/>
  <c r="H16" i="20"/>
  <c r="K7" i="20"/>
  <c r="K51" i="4"/>
  <c r="K36" i="4"/>
  <c r="K21" i="4"/>
  <c r="K3" i="4"/>
  <c r="B139" i="12"/>
  <c r="K43" i="4"/>
  <c r="K10" i="4"/>
  <c r="K57" i="4"/>
  <c r="K42" i="4"/>
  <c r="K27" i="4"/>
  <c r="K9" i="4"/>
  <c r="K54" i="4"/>
  <c r="K39" i="4"/>
  <c r="K24" i="4"/>
  <c r="K6" i="4"/>
  <c r="K8" i="4"/>
  <c r="K56" i="4"/>
  <c r="K41" i="4"/>
  <c r="K26" i="4"/>
  <c r="H96" i="12"/>
  <c r="H72" i="12"/>
  <c r="H47" i="12"/>
  <c r="F11" i="12"/>
  <c r="F10" i="12"/>
  <c r="F7" i="12"/>
  <c r="F43" i="12"/>
  <c r="C32" i="19"/>
  <c r="B32" i="19"/>
  <c r="G28" i="19"/>
  <c r="F7" i="19" s="1"/>
  <c r="G7" i="19" s="1"/>
  <c r="H27" i="19"/>
  <c r="H25" i="19"/>
  <c r="H24" i="19"/>
  <c r="H23" i="19"/>
  <c r="H22" i="19"/>
  <c r="H21" i="19"/>
  <c r="H20" i="19"/>
  <c r="H19" i="19"/>
  <c r="H18" i="19"/>
  <c r="H17" i="19"/>
  <c r="E17" i="19"/>
  <c r="E18" i="19" s="1"/>
  <c r="E19" i="19" s="1"/>
  <c r="E20" i="19" s="1"/>
  <c r="E21" i="19" s="1"/>
  <c r="E22" i="19" s="1"/>
  <c r="E23" i="19" s="1"/>
  <c r="E24" i="19" s="1"/>
  <c r="H16" i="19"/>
  <c r="Q58" i="4"/>
  <c r="Q43" i="4"/>
  <c r="Q28" i="4"/>
  <c r="Q10" i="4"/>
  <c r="K7" i="18"/>
  <c r="C31" i="18"/>
  <c r="B31" i="18"/>
  <c r="E27" i="18"/>
  <c r="F8" i="13"/>
  <c r="L41" i="4"/>
  <c r="H114" i="13"/>
  <c r="H115" i="13"/>
  <c r="H116" i="13"/>
  <c r="H117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E39" i="13"/>
  <c r="E40" i="13" s="1"/>
  <c r="E41" i="13" s="1"/>
  <c r="E42" i="13" s="1"/>
  <c r="E43" i="13" s="1"/>
  <c r="E44" i="13" s="1"/>
  <c r="E45" i="13" s="1"/>
  <c r="E46" i="13" s="1"/>
  <c r="E28" i="13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21" i="13"/>
  <c r="E22" i="13" s="1"/>
  <c r="E23" i="13" s="1"/>
  <c r="E24" i="13" s="1"/>
  <c r="E25" i="13" s="1"/>
  <c r="E26" i="13" s="1"/>
  <c r="E27" i="13" s="1"/>
  <c r="B104" i="13"/>
  <c r="C104" i="13"/>
  <c r="P37" i="4"/>
  <c r="P52" i="4"/>
  <c r="P22" i="4"/>
  <c r="P4" i="4"/>
  <c r="G93" i="17"/>
  <c r="B97" i="17"/>
  <c r="E93" i="17"/>
  <c r="G27" i="18"/>
  <c r="F7" i="18" s="1"/>
  <c r="G7" i="18" s="1"/>
  <c r="F27" i="18"/>
  <c r="H26" i="18"/>
  <c r="H25" i="18"/>
  <c r="H24" i="18"/>
  <c r="H23" i="18"/>
  <c r="H22" i="18"/>
  <c r="H21" i="18"/>
  <c r="H20" i="18"/>
  <c r="H19" i="18"/>
  <c r="H18" i="18"/>
  <c r="H17" i="18"/>
  <c r="E17" i="18"/>
  <c r="E18" i="18" s="1"/>
  <c r="E19" i="18" s="1"/>
  <c r="E20" i="18" s="1"/>
  <c r="E21" i="18" s="1"/>
  <c r="E22" i="18" s="1"/>
  <c r="E23" i="18" s="1"/>
  <c r="E24" i="18" s="1"/>
  <c r="E25" i="18" s="1"/>
  <c r="E26" i="18" s="1"/>
  <c r="H16" i="18"/>
  <c r="F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E17" i="17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H16" i="17"/>
  <c r="G7" i="17"/>
  <c r="N55" i="4"/>
  <c r="N40" i="4"/>
  <c r="N25" i="4"/>
  <c r="J51" i="4"/>
  <c r="J36" i="4"/>
  <c r="J21" i="4"/>
  <c r="J59" i="4"/>
  <c r="J44" i="4"/>
  <c r="I58" i="4"/>
  <c r="I43" i="4"/>
  <c r="I28" i="4"/>
  <c r="I54" i="4"/>
  <c r="I39" i="4"/>
  <c r="I24" i="4"/>
  <c r="I59" i="4"/>
  <c r="I44" i="4"/>
  <c r="I29" i="4"/>
  <c r="H57" i="4"/>
  <c r="H42" i="4"/>
  <c r="H27" i="4"/>
  <c r="H54" i="4"/>
  <c r="H39" i="4"/>
  <c r="H24" i="4"/>
  <c r="G29" i="4"/>
  <c r="G44" i="4"/>
  <c r="G59" i="4"/>
  <c r="G57" i="4"/>
  <c r="G42" i="4"/>
  <c r="G27" i="4"/>
  <c r="G58" i="4"/>
  <c r="G43" i="4"/>
  <c r="G28" i="4"/>
  <c r="G54" i="4"/>
  <c r="G39" i="4"/>
  <c r="G24" i="4"/>
  <c r="G56" i="4"/>
  <c r="G41" i="4"/>
  <c r="G26" i="4"/>
  <c r="F28" i="4"/>
  <c r="F43" i="4"/>
  <c r="F58" i="4"/>
  <c r="F56" i="4"/>
  <c r="F41" i="4"/>
  <c r="F26" i="4"/>
  <c r="F54" i="4"/>
  <c r="F39" i="4"/>
  <c r="F24" i="4"/>
  <c r="F25" i="4"/>
  <c r="A52" i="4"/>
  <c r="A53" i="4" s="1"/>
  <c r="A54" i="4" s="1"/>
  <c r="A55" i="4" s="1"/>
  <c r="A56" i="4" s="1"/>
  <c r="A57" i="4" s="1"/>
  <c r="A58" i="4" s="1"/>
  <c r="A59" i="4" s="1"/>
  <c r="A37" i="4"/>
  <c r="A38" i="4" s="1"/>
  <c r="A39" i="4" s="1"/>
  <c r="A40" i="4" s="1"/>
  <c r="A41" i="4" s="1"/>
  <c r="A42" i="4" s="1"/>
  <c r="A43" i="4" s="1"/>
  <c r="A44" i="4" s="1"/>
  <c r="A22" i="4"/>
  <c r="A23" i="4" s="1"/>
  <c r="A24" i="4" s="1"/>
  <c r="A25" i="4" s="1"/>
  <c r="A26" i="4" s="1"/>
  <c r="A27" i="4" s="1"/>
  <c r="A28" i="4" s="1"/>
  <c r="A29" i="4" s="1"/>
  <c r="H30" i="26" l="1"/>
  <c r="E31" i="26"/>
  <c r="Y10" i="4" s="1"/>
  <c r="H184" i="22"/>
  <c r="G189" i="22" s="1"/>
  <c r="U42" i="4" s="1"/>
  <c r="G31" i="26"/>
  <c r="Y43" i="4" s="1"/>
  <c r="F31" i="26"/>
  <c r="Y28" i="4" s="1"/>
  <c r="E25" i="19"/>
  <c r="E28" i="19" s="1"/>
  <c r="H28" i="19"/>
  <c r="H32" i="19" s="1"/>
  <c r="F21" i="24"/>
  <c r="H20" i="24"/>
  <c r="H19" i="24"/>
  <c r="E26" i="24"/>
  <c r="H64" i="23"/>
  <c r="H101" i="21"/>
  <c r="H50" i="20"/>
  <c r="E38" i="20"/>
  <c r="E39" i="20" s="1"/>
  <c r="E40" i="20" s="1"/>
  <c r="H27" i="18"/>
  <c r="H93" i="17"/>
  <c r="G98" i="17" s="1"/>
  <c r="L7" i="15"/>
  <c r="B103" i="15"/>
  <c r="G99" i="16"/>
  <c r="F7" i="16" s="1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E17" i="16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H16" i="16"/>
  <c r="G7" i="16"/>
  <c r="M79" i="6"/>
  <c r="E143" i="10"/>
  <c r="E43" i="6"/>
  <c r="I189" i="22" l="1"/>
  <c r="H31" i="26"/>
  <c r="Y58" i="4" s="1"/>
  <c r="I30" i="26"/>
  <c r="E33" i="19"/>
  <c r="R10" i="4" s="1"/>
  <c r="F33" i="19"/>
  <c r="R28" i="4" s="1"/>
  <c r="G33" i="19"/>
  <c r="R43" i="4" s="1"/>
  <c r="F22" i="24"/>
  <c r="H21" i="24"/>
  <c r="H68" i="23"/>
  <c r="G69" i="23"/>
  <c r="E69" i="23"/>
  <c r="F69" i="23"/>
  <c r="V22" i="4" s="1"/>
  <c r="E106" i="21"/>
  <c r="T9" i="4" s="1"/>
  <c r="F106" i="21"/>
  <c r="T27" i="4" s="1"/>
  <c r="H105" i="21"/>
  <c r="G106" i="21"/>
  <c r="T42" i="4" s="1"/>
  <c r="F55" i="20"/>
  <c r="S22" i="4" s="1"/>
  <c r="G55" i="20"/>
  <c r="E55" i="20"/>
  <c r="S4" i="4" s="1"/>
  <c r="H99" i="16"/>
  <c r="H106" i="21"/>
  <c r="T57" i="4" s="1"/>
  <c r="E41" i="20"/>
  <c r="E42" i="20" s="1"/>
  <c r="E43" i="20" s="1"/>
  <c r="E44" i="20" s="1"/>
  <c r="E45" i="20" s="1"/>
  <c r="H33" i="19"/>
  <c r="R58" i="4" s="1"/>
  <c r="I32" i="19"/>
  <c r="F32" i="18"/>
  <c r="H31" i="18"/>
  <c r="G32" i="18"/>
  <c r="E32" i="18"/>
  <c r="F98" i="17"/>
  <c r="E98" i="17"/>
  <c r="H97" i="17"/>
  <c r="H98" i="17" s="1"/>
  <c r="K139" i="10"/>
  <c r="K85" i="10"/>
  <c r="K109" i="7"/>
  <c r="E90" i="10"/>
  <c r="I31" i="26" l="1"/>
  <c r="I33" i="19"/>
  <c r="F23" i="24"/>
  <c r="H22" i="24"/>
  <c r="H69" i="23"/>
  <c r="V52" i="4" s="1"/>
  <c r="I68" i="23"/>
  <c r="H55" i="20"/>
  <c r="S52" i="4" s="1"/>
  <c r="I54" i="20"/>
  <c r="F104" i="16"/>
  <c r="O24" i="4" s="1"/>
  <c r="G104" i="16"/>
  <c r="O39" i="4" s="1"/>
  <c r="E104" i="16"/>
  <c r="O6" i="4" s="1"/>
  <c r="H103" i="16"/>
  <c r="E46" i="20"/>
  <c r="E47" i="20" s="1"/>
  <c r="E50" i="20" s="1"/>
  <c r="I105" i="21"/>
  <c r="I106" i="21" s="1"/>
  <c r="H32" i="18"/>
  <c r="I31" i="18"/>
  <c r="I97" i="17"/>
  <c r="I98" i="17" s="1"/>
  <c r="E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E114" i="12"/>
  <c r="G109" i="12"/>
  <c r="H89" i="10"/>
  <c r="H113" i="7"/>
  <c r="G82" i="3"/>
  <c r="G99" i="15"/>
  <c r="F99" i="15"/>
  <c r="H24" i="15"/>
  <c r="H23" i="15"/>
  <c r="H22" i="15"/>
  <c r="H21" i="15"/>
  <c r="H20" i="15"/>
  <c r="H19" i="15"/>
  <c r="H18" i="15"/>
  <c r="H17" i="15"/>
  <c r="E17" i="15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H16" i="15"/>
  <c r="G7" i="15"/>
  <c r="G67" i="14"/>
  <c r="F67" i="14"/>
  <c r="H66" i="14"/>
  <c r="H65" i="14"/>
  <c r="H64" i="14"/>
  <c r="H63" i="14"/>
  <c r="H62" i="14"/>
  <c r="E62" i="14"/>
  <c r="E63" i="14" s="1"/>
  <c r="E64" i="14" s="1"/>
  <c r="E65" i="14" s="1"/>
  <c r="E66" i="14" s="1"/>
  <c r="E67" i="14" s="1"/>
  <c r="H61" i="14"/>
  <c r="B51" i="14"/>
  <c r="G47" i="14"/>
  <c r="F47" i="14"/>
  <c r="K47" i="14" s="1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E18" i="14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H17" i="14"/>
  <c r="G8" i="14"/>
  <c r="G7" i="14"/>
  <c r="M9" i="6"/>
  <c r="M8" i="6"/>
  <c r="B110" i="6"/>
  <c r="H67" i="14" l="1"/>
  <c r="H47" i="14"/>
  <c r="F24" i="24"/>
  <c r="H23" i="24"/>
  <c r="I69" i="23"/>
  <c r="I55" i="20"/>
  <c r="H104" i="16"/>
  <c r="O54" i="4" s="1"/>
  <c r="I103" i="16"/>
  <c r="I32" i="18"/>
  <c r="H99" i="15"/>
  <c r="C122" i="13"/>
  <c r="B122" i="13"/>
  <c r="E118" i="13"/>
  <c r="G118" i="13"/>
  <c r="F118" i="13"/>
  <c r="E114" i="13"/>
  <c r="E115" i="13" s="1"/>
  <c r="E116" i="13" s="1"/>
  <c r="E117" i="13" s="1"/>
  <c r="H113" i="13"/>
  <c r="C75" i="13"/>
  <c r="B75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B53" i="13"/>
  <c r="E135" i="12"/>
  <c r="H134" i="12"/>
  <c r="H133" i="12"/>
  <c r="H132" i="12"/>
  <c r="H131" i="12"/>
  <c r="H130" i="12"/>
  <c r="E130" i="12"/>
  <c r="E131" i="12" s="1"/>
  <c r="E132" i="12" s="1"/>
  <c r="E133" i="12" s="1"/>
  <c r="E134" i="12" s="1"/>
  <c r="G135" i="12"/>
  <c r="F135" i="12"/>
  <c r="H129" i="12"/>
  <c r="H128" i="12"/>
  <c r="H127" i="12"/>
  <c r="H126" i="12"/>
  <c r="H125" i="12"/>
  <c r="H124" i="12"/>
  <c r="H123" i="12"/>
  <c r="E123" i="12"/>
  <c r="E124" i="12" s="1"/>
  <c r="E125" i="12" s="1"/>
  <c r="E126" i="12" s="1"/>
  <c r="E127" i="12" s="1"/>
  <c r="E128" i="12" s="1"/>
  <c r="E129" i="12" s="1"/>
  <c r="H122" i="12"/>
  <c r="B96" i="12"/>
  <c r="G97" i="12"/>
  <c r="F97" i="12"/>
  <c r="E97" i="12"/>
  <c r="H97" i="12"/>
  <c r="G92" i="12"/>
  <c r="F9" i="12" s="1"/>
  <c r="F92" i="12"/>
  <c r="H91" i="12"/>
  <c r="H90" i="12"/>
  <c r="H89" i="12"/>
  <c r="H88" i="12"/>
  <c r="H87" i="12"/>
  <c r="H86" i="12"/>
  <c r="H85" i="12"/>
  <c r="H84" i="12"/>
  <c r="H83" i="12"/>
  <c r="H82" i="12"/>
  <c r="E82" i="12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H81" i="12"/>
  <c r="B47" i="12"/>
  <c r="B89" i="10"/>
  <c r="E85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G100" i="13"/>
  <c r="F100" i="13"/>
  <c r="E86" i="13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H85" i="13"/>
  <c r="G71" i="13"/>
  <c r="F71" i="13"/>
  <c r="H70" i="13"/>
  <c r="H69" i="13"/>
  <c r="H68" i="13"/>
  <c r="H67" i="13"/>
  <c r="H66" i="13"/>
  <c r="H65" i="13"/>
  <c r="H64" i="13"/>
  <c r="E64" i="13"/>
  <c r="E65" i="13" s="1"/>
  <c r="E66" i="13" s="1"/>
  <c r="E67" i="13" s="1"/>
  <c r="E68" i="13" s="1"/>
  <c r="E69" i="13" s="1"/>
  <c r="E70" i="13" s="1"/>
  <c r="E71" i="13" s="1"/>
  <c r="H63" i="13"/>
  <c r="G49" i="13"/>
  <c r="F49" i="13"/>
  <c r="K49" i="13" s="1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E20" i="13"/>
  <c r="E47" i="13" s="1"/>
  <c r="E48" i="13" s="1"/>
  <c r="H19" i="13"/>
  <c r="G10" i="13"/>
  <c r="G9" i="13"/>
  <c r="G8" i="13"/>
  <c r="G7" i="13"/>
  <c r="F109" i="12"/>
  <c r="H108" i="12"/>
  <c r="H107" i="12"/>
  <c r="H106" i="12"/>
  <c r="E106" i="12"/>
  <c r="E107" i="12" s="1"/>
  <c r="E108" i="12" s="1"/>
  <c r="E109" i="12" s="1"/>
  <c r="H105" i="12"/>
  <c r="G73" i="12"/>
  <c r="F73" i="12"/>
  <c r="E73" i="12"/>
  <c r="H73" i="12"/>
  <c r="G68" i="12"/>
  <c r="F8" i="12" s="1"/>
  <c r="G8" i="12" s="1"/>
  <c r="F68" i="12"/>
  <c r="H67" i="12"/>
  <c r="H66" i="12"/>
  <c r="H65" i="12"/>
  <c r="H64" i="12"/>
  <c r="H63" i="12"/>
  <c r="H62" i="12"/>
  <c r="H61" i="12"/>
  <c r="H60" i="12"/>
  <c r="H59" i="12"/>
  <c r="H58" i="12"/>
  <c r="E58" i="12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H57" i="12"/>
  <c r="G48" i="12"/>
  <c r="F48" i="12"/>
  <c r="E48" i="12"/>
  <c r="H48" i="12"/>
  <c r="G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E21" i="12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H20" i="12"/>
  <c r="G11" i="12"/>
  <c r="G10" i="12"/>
  <c r="G9" i="12"/>
  <c r="G7" i="12"/>
  <c r="F258" i="5"/>
  <c r="G258" i="5"/>
  <c r="H257" i="5"/>
  <c r="H112" i="5"/>
  <c r="H113" i="5"/>
  <c r="G113" i="5"/>
  <c r="F113" i="5"/>
  <c r="I263" i="5"/>
  <c r="I262" i="5"/>
  <c r="H263" i="5"/>
  <c r="G263" i="5"/>
  <c r="F263" i="5"/>
  <c r="E263" i="5"/>
  <c r="C262" i="5"/>
  <c r="C117" i="5"/>
  <c r="G52" i="14" l="1"/>
  <c r="F52" i="14"/>
  <c r="H51" i="14"/>
  <c r="E52" i="14"/>
  <c r="M6" i="4" s="1"/>
  <c r="G72" i="14"/>
  <c r="E72" i="14"/>
  <c r="H71" i="14"/>
  <c r="F72" i="14"/>
  <c r="F25" i="24"/>
  <c r="H25" i="24" s="1"/>
  <c r="H24" i="24"/>
  <c r="I104" i="16"/>
  <c r="I96" i="12"/>
  <c r="I97" i="12" s="1"/>
  <c r="I72" i="12"/>
  <c r="I73" i="12" s="1"/>
  <c r="I47" i="12"/>
  <c r="I48" i="12" s="1"/>
  <c r="E104" i="15"/>
  <c r="H103" i="15"/>
  <c r="F104" i="15"/>
  <c r="G104" i="15"/>
  <c r="H118" i="13"/>
  <c r="H122" i="13" s="1"/>
  <c r="E49" i="13"/>
  <c r="H100" i="13"/>
  <c r="H135" i="12"/>
  <c r="H92" i="12"/>
  <c r="H43" i="12"/>
  <c r="H68" i="12"/>
  <c r="H49" i="13"/>
  <c r="H71" i="13"/>
  <c r="H75" i="13" s="1"/>
  <c r="H109" i="12"/>
  <c r="H117" i="5"/>
  <c r="E100" i="10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52" i="14" l="1"/>
  <c r="I51" i="14"/>
  <c r="H72" i="14"/>
  <c r="I71" i="14"/>
  <c r="H139" i="12"/>
  <c r="F140" i="12"/>
  <c r="G140" i="12"/>
  <c r="E140" i="12"/>
  <c r="F123" i="13"/>
  <c r="L27" i="4" s="1"/>
  <c r="G123" i="13"/>
  <c r="E123" i="13"/>
  <c r="G105" i="13"/>
  <c r="M123" i="13" s="1"/>
  <c r="L42" i="4" s="1"/>
  <c r="H104" i="13"/>
  <c r="H53" i="13"/>
  <c r="L45" i="30" s="1"/>
  <c r="L49" i="30" s="1"/>
  <c r="F54" i="13"/>
  <c r="L26" i="4" s="1"/>
  <c r="G54" i="13"/>
  <c r="E54" i="13"/>
  <c r="L8" i="4" s="1"/>
  <c r="I103" i="15"/>
  <c r="H104" i="15"/>
  <c r="G76" i="13"/>
  <c r="L43" i="4" s="1"/>
  <c r="E76" i="13"/>
  <c r="L10" i="4" s="1"/>
  <c r="F76" i="13"/>
  <c r="L28" i="4" s="1"/>
  <c r="G114" i="12"/>
  <c r="H113" i="12"/>
  <c r="H114" i="12" s="1"/>
  <c r="K58" i="4" s="1"/>
  <c r="F105" i="13"/>
  <c r="E105" i="13"/>
  <c r="I104" i="13"/>
  <c r="F114" i="12"/>
  <c r="K28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G139" i="10"/>
  <c r="F139" i="10"/>
  <c r="H99" i="10"/>
  <c r="G90" i="10"/>
  <c r="F90" i="10"/>
  <c r="I89" i="10"/>
  <c r="H90" i="10"/>
  <c r="G85" i="10"/>
  <c r="F85" i="10"/>
  <c r="H84" i="10"/>
  <c r="H83" i="10"/>
  <c r="H82" i="10"/>
  <c r="H81" i="10"/>
  <c r="H80" i="10"/>
  <c r="H79" i="10"/>
  <c r="H78" i="10"/>
  <c r="H77" i="10"/>
  <c r="H76" i="10"/>
  <c r="E76" i="10"/>
  <c r="E77" i="10" s="1"/>
  <c r="E78" i="10" s="1"/>
  <c r="E79" i="10" s="1"/>
  <c r="E80" i="10" s="1"/>
  <c r="E81" i="10" s="1"/>
  <c r="E82" i="10" s="1"/>
  <c r="E83" i="10" s="1"/>
  <c r="E84" i="10" s="1"/>
  <c r="H75" i="10"/>
  <c r="G61" i="10"/>
  <c r="F61" i="10"/>
  <c r="K61" i="10" s="1"/>
  <c r="H28" i="10"/>
  <c r="H27" i="10"/>
  <c r="H26" i="10"/>
  <c r="H25" i="10"/>
  <c r="H24" i="10"/>
  <c r="H23" i="10"/>
  <c r="H22" i="10"/>
  <c r="H21" i="10"/>
  <c r="E21" i="10"/>
  <c r="E22" i="10" s="1"/>
  <c r="E23" i="10" s="1"/>
  <c r="E24" i="10" s="1"/>
  <c r="E25" i="10" s="1"/>
  <c r="E26" i="10" s="1"/>
  <c r="E27" i="10" s="1"/>
  <c r="E28" i="10" s="1"/>
  <c r="H20" i="10"/>
  <c r="G11" i="10"/>
  <c r="G10" i="10"/>
  <c r="G9" i="10"/>
  <c r="G8" i="10"/>
  <c r="G7" i="10"/>
  <c r="B262" i="5"/>
  <c r="I52" i="14" l="1"/>
  <c r="I72" i="14"/>
  <c r="H30" i="24"/>
  <c r="E31" i="24"/>
  <c r="W10" i="4" s="1"/>
  <c r="F31" i="24"/>
  <c r="W28" i="4" s="1"/>
  <c r="G31" i="24"/>
  <c r="W43" i="4" s="1"/>
  <c r="H140" i="12"/>
  <c r="I139" i="12"/>
  <c r="I122" i="13"/>
  <c r="H123" i="13"/>
  <c r="H54" i="13"/>
  <c r="L56" i="4" s="1"/>
  <c r="I53" i="13"/>
  <c r="H105" i="13"/>
  <c r="I104" i="15"/>
  <c r="I90" i="10"/>
  <c r="H76" i="13"/>
  <c r="L58" i="4" s="1"/>
  <c r="I75" i="13"/>
  <c r="I113" i="12"/>
  <c r="I114" i="12" s="1"/>
  <c r="E29" i="10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H61" i="10"/>
  <c r="H85" i="10"/>
  <c r="H139" i="10"/>
  <c r="H143" i="10" s="1"/>
  <c r="E114" i="7"/>
  <c r="G114" i="7"/>
  <c r="F114" i="7"/>
  <c r="H114" i="7"/>
  <c r="F124" i="2"/>
  <c r="E124" i="2"/>
  <c r="D124" i="2"/>
  <c r="K8" i="3"/>
  <c r="M8" i="3"/>
  <c r="M7" i="3"/>
  <c r="G51" i="3"/>
  <c r="K11" i="3"/>
  <c r="K9" i="3"/>
  <c r="K7" i="3"/>
  <c r="E78" i="3"/>
  <c r="G119" i="2"/>
  <c r="F119" i="2"/>
  <c r="E119" i="2"/>
  <c r="G123" i="2"/>
  <c r="G124" i="2" s="1"/>
  <c r="E43" i="2"/>
  <c r="D43" i="2"/>
  <c r="F38" i="2"/>
  <c r="E38" i="2"/>
  <c r="F80" i="2"/>
  <c r="D80" i="2"/>
  <c r="H31" i="24" l="1"/>
  <c r="W58" i="4" s="1"/>
  <c r="I30" i="24"/>
  <c r="I140" i="12"/>
  <c r="I105" i="13"/>
  <c r="N123" i="13"/>
  <c r="L57" i="4" s="1"/>
  <c r="I123" i="13"/>
  <c r="I54" i="13"/>
  <c r="E66" i="10"/>
  <c r="H65" i="10"/>
  <c r="F66" i="10"/>
  <c r="G66" i="10"/>
  <c r="I76" i="13"/>
  <c r="I113" i="7"/>
  <c r="I114" i="7" s="1"/>
  <c r="F144" i="10"/>
  <c r="G144" i="10"/>
  <c r="E144" i="10"/>
  <c r="G99" i="3"/>
  <c r="G100" i="3"/>
  <c r="G101" i="3"/>
  <c r="G102" i="3"/>
  <c r="G103" i="3"/>
  <c r="G104" i="3"/>
  <c r="G105" i="3"/>
  <c r="G106" i="3"/>
  <c r="G98" i="3"/>
  <c r="B51" i="3"/>
  <c r="G45" i="3"/>
  <c r="G44" i="3"/>
  <c r="G46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B159" i="3"/>
  <c r="G76" i="3"/>
  <c r="G77" i="3"/>
  <c r="B135" i="3"/>
  <c r="F155" i="3"/>
  <c r="E155" i="3"/>
  <c r="G154" i="3"/>
  <c r="G153" i="3"/>
  <c r="G152" i="3"/>
  <c r="G151" i="3"/>
  <c r="G150" i="3"/>
  <c r="G149" i="3"/>
  <c r="G148" i="3"/>
  <c r="G147" i="3"/>
  <c r="G146" i="3"/>
  <c r="D146" i="3"/>
  <c r="D147" i="3" s="1"/>
  <c r="D148" i="3" s="1"/>
  <c r="D149" i="3" s="1"/>
  <c r="D150" i="3" s="1"/>
  <c r="D151" i="3" s="1"/>
  <c r="D152" i="3" s="1"/>
  <c r="D153" i="3" s="1"/>
  <c r="D154" i="3" s="1"/>
  <c r="D155" i="3" s="1"/>
  <c r="G145" i="3"/>
  <c r="F131" i="3"/>
  <c r="E131" i="3"/>
  <c r="G130" i="3"/>
  <c r="G129" i="3"/>
  <c r="G128" i="3"/>
  <c r="G127" i="3"/>
  <c r="G126" i="3"/>
  <c r="G125" i="3"/>
  <c r="G124" i="3"/>
  <c r="G123" i="3"/>
  <c r="G122" i="3"/>
  <c r="D122" i="3"/>
  <c r="D123" i="3" s="1"/>
  <c r="D124" i="3" s="1"/>
  <c r="D125" i="3" s="1"/>
  <c r="D126" i="3" s="1"/>
  <c r="D127" i="3" s="1"/>
  <c r="D128" i="3" s="1"/>
  <c r="D129" i="3" s="1"/>
  <c r="D130" i="3" s="1"/>
  <c r="D131" i="3" s="1"/>
  <c r="G121" i="3"/>
  <c r="I31" i="24" l="1"/>
  <c r="H66" i="10"/>
  <c r="I65" i="10"/>
  <c r="H144" i="10"/>
  <c r="I143" i="10"/>
  <c r="G131" i="3"/>
  <c r="G155" i="3"/>
  <c r="I66" i="10" l="1"/>
  <c r="I144" i="10"/>
  <c r="G159" i="3"/>
  <c r="F160" i="3"/>
  <c r="D160" i="3"/>
  <c r="E160" i="3"/>
  <c r="G135" i="3"/>
  <c r="F136" i="3"/>
  <c r="D136" i="3"/>
  <c r="E136" i="3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E128" i="5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H240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E18" i="5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25" i="5"/>
  <c r="H24" i="5"/>
  <c r="H23" i="5"/>
  <c r="H22" i="5"/>
  <c r="H21" i="5"/>
  <c r="H20" i="5"/>
  <c r="H19" i="5"/>
  <c r="H18" i="5"/>
  <c r="H90" i="7"/>
  <c r="H89" i="7"/>
  <c r="H88" i="7"/>
  <c r="H87" i="7"/>
  <c r="H86" i="7"/>
  <c r="H85" i="7"/>
  <c r="H84" i="7"/>
  <c r="H83" i="7"/>
  <c r="H82" i="7"/>
  <c r="H81" i="7"/>
  <c r="F49" i="7"/>
  <c r="K49" i="7" s="1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F75" i="6"/>
  <c r="K75" i="6" s="1"/>
  <c r="H74" i="6"/>
  <c r="H38" i="6"/>
  <c r="H37" i="6"/>
  <c r="H36" i="6"/>
  <c r="H35" i="6"/>
  <c r="H34" i="6"/>
  <c r="H33" i="6"/>
  <c r="H32" i="6"/>
  <c r="H31" i="6"/>
  <c r="H30" i="6"/>
  <c r="G109" i="7"/>
  <c r="F109" i="7"/>
  <c r="H108" i="7"/>
  <c r="H107" i="7"/>
  <c r="H106" i="7"/>
  <c r="E106" i="7"/>
  <c r="E107" i="7" s="1"/>
  <c r="E108" i="7" s="1"/>
  <c r="E109" i="7" s="1"/>
  <c r="H105" i="7"/>
  <c r="G91" i="7"/>
  <c r="F91" i="7"/>
  <c r="K91" i="7" s="1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E64" i="7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H63" i="7"/>
  <c r="G49" i="7"/>
  <c r="H24" i="7"/>
  <c r="H23" i="7"/>
  <c r="H22" i="7"/>
  <c r="H21" i="7"/>
  <c r="E21" i="7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H20" i="7"/>
  <c r="G11" i="7"/>
  <c r="G10" i="7"/>
  <c r="G9" i="7"/>
  <c r="G8" i="7"/>
  <c r="G7" i="7"/>
  <c r="D130" i="6"/>
  <c r="G126" i="6"/>
  <c r="F126" i="6"/>
  <c r="H125" i="6"/>
  <c r="H124" i="6"/>
  <c r="H123" i="6"/>
  <c r="H122" i="6"/>
  <c r="H121" i="6"/>
  <c r="E121" i="6"/>
  <c r="E122" i="6" s="1"/>
  <c r="E123" i="6" s="1"/>
  <c r="E124" i="6" s="1"/>
  <c r="E125" i="6" s="1"/>
  <c r="E126" i="6" s="1"/>
  <c r="H120" i="6"/>
  <c r="G106" i="6"/>
  <c r="F106" i="6"/>
  <c r="K106" i="6" s="1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E90" i="6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H89" i="6"/>
  <c r="G75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E54" i="6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H53" i="6"/>
  <c r="G39" i="6"/>
  <c r="F39" i="6"/>
  <c r="K39" i="6" s="1"/>
  <c r="H29" i="6"/>
  <c r="H28" i="6"/>
  <c r="H27" i="6"/>
  <c r="H26" i="6"/>
  <c r="H25" i="6"/>
  <c r="H24" i="6"/>
  <c r="H23" i="6"/>
  <c r="H22" i="6"/>
  <c r="H21" i="6"/>
  <c r="H20" i="6"/>
  <c r="E20" i="6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H19" i="6"/>
  <c r="G11" i="6"/>
  <c r="G10" i="6"/>
  <c r="G9" i="6"/>
  <c r="G8" i="6"/>
  <c r="G7" i="6"/>
  <c r="F10" i="3"/>
  <c r="H127" i="5"/>
  <c r="H17" i="5"/>
  <c r="G8" i="5"/>
  <c r="G7" i="5"/>
  <c r="F107" i="3"/>
  <c r="E107" i="3"/>
  <c r="G97" i="3"/>
  <c r="G96" i="3"/>
  <c r="G95" i="3"/>
  <c r="G94" i="3"/>
  <c r="G93" i="3"/>
  <c r="D93" i="3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G92" i="3"/>
  <c r="F78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D62" i="3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G61" i="3"/>
  <c r="F47" i="3"/>
  <c r="E47" i="3"/>
  <c r="G24" i="3"/>
  <c r="G23" i="3"/>
  <c r="G22" i="3"/>
  <c r="G21" i="3"/>
  <c r="D21" i="3"/>
  <c r="D22" i="3" s="1"/>
  <c r="D23" i="3" s="1"/>
  <c r="D24" i="3" s="1"/>
  <c r="G20" i="3"/>
  <c r="F11" i="3"/>
  <c r="F9" i="3"/>
  <c r="F8" i="3"/>
  <c r="F7" i="3"/>
  <c r="C143" i="2"/>
  <c r="D13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E177" i="1"/>
  <c r="G177" i="1"/>
  <c r="F177" i="1"/>
  <c r="F139" i="2"/>
  <c r="E139" i="2"/>
  <c r="G138" i="2"/>
  <c r="G137" i="2"/>
  <c r="G136" i="2"/>
  <c r="G135" i="2"/>
  <c r="G134" i="2"/>
  <c r="D134" i="2"/>
  <c r="D135" i="2" s="1"/>
  <c r="D136" i="2" s="1"/>
  <c r="D137" i="2" s="1"/>
  <c r="D138" i="2" s="1"/>
  <c r="G133" i="2"/>
  <c r="G93" i="2"/>
  <c r="G92" i="2"/>
  <c r="G91" i="2"/>
  <c r="G90" i="2"/>
  <c r="D90" i="2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G89" i="2"/>
  <c r="F75" i="2"/>
  <c r="E75" i="2"/>
  <c r="G56" i="2"/>
  <c r="G55" i="2"/>
  <c r="G54" i="2"/>
  <c r="G53" i="2"/>
  <c r="D53" i="2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G52" i="2"/>
  <c r="G23" i="2"/>
  <c r="G22" i="2"/>
  <c r="D22" i="2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G21" i="2"/>
  <c r="F12" i="2"/>
  <c r="F11" i="2"/>
  <c r="F10" i="2"/>
  <c r="F9" i="2"/>
  <c r="F8" i="2"/>
  <c r="F7" i="2"/>
  <c r="F172" i="1"/>
  <c r="G172" i="1"/>
  <c r="D177" i="1" s="1"/>
  <c r="E172" i="1"/>
  <c r="D172" i="1"/>
  <c r="G130" i="1"/>
  <c r="E130" i="1"/>
  <c r="D162" i="1"/>
  <c r="D163" i="1" s="1"/>
  <c r="D164" i="1" s="1"/>
  <c r="D165" i="1" s="1"/>
  <c r="D166" i="1" s="1"/>
  <c r="D167" i="1" s="1"/>
  <c r="D168" i="1" s="1"/>
  <c r="D169" i="1" s="1"/>
  <c r="D170" i="1" s="1"/>
  <c r="D171" i="1" s="1"/>
  <c r="D161" i="1"/>
  <c r="G166" i="1"/>
  <c r="G165" i="1"/>
  <c r="G164" i="1"/>
  <c r="G163" i="1"/>
  <c r="G162" i="1"/>
  <c r="G161" i="1"/>
  <c r="G171" i="1"/>
  <c r="G170" i="1"/>
  <c r="G169" i="1"/>
  <c r="G168" i="1"/>
  <c r="G167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D145" i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G144" i="1"/>
  <c r="D61" i="1"/>
  <c r="E105" i="6" l="1"/>
  <c r="E106" i="6" s="1"/>
  <c r="G136" i="3"/>
  <c r="H135" i="3"/>
  <c r="G160" i="3"/>
  <c r="H159" i="3"/>
  <c r="D25" i="3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76" i="3"/>
  <c r="D77" i="3" s="1"/>
  <c r="D78" i="3" s="1"/>
  <c r="H258" i="5"/>
  <c r="E91" i="7"/>
  <c r="E49" i="7"/>
  <c r="H109" i="7"/>
  <c r="H49" i="7"/>
  <c r="H91" i="7"/>
  <c r="E75" i="6"/>
  <c r="E39" i="6"/>
  <c r="H126" i="6"/>
  <c r="E131" i="6" s="1"/>
  <c r="H39" i="6"/>
  <c r="E44" i="6" s="1"/>
  <c r="H75" i="6"/>
  <c r="H106" i="6"/>
  <c r="G78" i="3"/>
  <c r="G107" i="3"/>
  <c r="G47" i="3"/>
  <c r="D119" i="2"/>
  <c r="D75" i="2"/>
  <c r="D38" i="2"/>
  <c r="G75" i="2"/>
  <c r="G38" i="2"/>
  <c r="G139" i="2"/>
  <c r="F144" i="2" s="1"/>
  <c r="G176" i="1"/>
  <c r="H176" i="1" s="1"/>
  <c r="G87" i="1"/>
  <c r="G86" i="1"/>
  <c r="G85" i="1"/>
  <c r="G84" i="1"/>
  <c r="G83" i="1"/>
  <c r="G82" i="1"/>
  <c r="G129" i="1"/>
  <c r="G128" i="1"/>
  <c r="G127" i="1"/>
  <c r="G126" i="1"/>
  <c r="G125" i="1"/>
  <c r="G124" i="1"/>
  <c r="G123" i="1"/>
  <c r="F108" i="1"/>
  <c r="F88" i="1"/>
  <c r="F29" i="1"/>
  <c r="E29" i="1"/>
  <c r="E57" i="1"/>
  <c r="E88" i="1"/>
  <c r="F130" i="1"/>
  <c r="E122" i="1"/>
  <c r="D123" i="1"/>
  <c r="D124" i="1" s="1"/>
  <c r="D125" i="1" s="1"/>
  <c r="D126" i="1" s="1"/>
  <c r="D127" i="1" s="1"/>
  <c r="D128" i="1" s="1"/>
  <c r="D129" i="1" s="1"/>
  <c r="D130" i="1" s="1"/>
  <c r="E108" i="1"/>
  <c r="G107" i="1"/>
  <c r="G106" i="1"/>
  <c r="G105" i="1"/>
  <c r="G104" i="1"/>
  <c r="G103" i="1"/>
  <c r="D103" i="1"/>
  <c r="D104" i="1" s="1"/>
  <c r="D105" i="1" s="1"/>
  <c r="D106" i="1" s="1"/>
  <c r="D107" i="1" s="1"/>
  <c r="D108" i="1" s="1"/>
  <c r="G102" i="1"/>
  <c r="G81" i="1"/>
  <c r="G80" i="1"/>
  <c r="G79" i="1"/>
  <c r="G78" i="1"/>
  <c r="G77" i="1"/>
  <c r="G76" i="1"/>
  <c r="G75" i="1"/>
  <c r="G74" i="1"/>
  <c r="G73" i="1"/>
  <c r="G72" i="1"/>
  <c r="D72" i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G71" i="1"/>
  <c r="G50" i="1"/>
  <c r="G49" i="1"/>
  <c r="G48" i="1"/>
  <c r="G47" i="1"/>
  <c r="G46" i="1"/>
  <c r="G45" i="1"/>
  <c r="F57" i="1"/>
  <c r="G56" i="1"/>
  <c r="G55" i="1"/>
  <c r="G54" i="1"/>
  <c r="G53" i="1"/>
  <c r="G52" i="1"/>
  <c r="G51" i="1"/>
  <c r="G44" i="1"/>
  <c r="D44" i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G43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F12" i="1"/>
  <c r="F11" i="1"/>
  <c r="F10" i="1"/>
  <c r="F9" i="1"/>
  <c r="F8" i="1"/>
  <c r="F7" i="1"/>
  <c r="G111" i="6" l="1"/>
  <c r="E111" i="6"/>
  <c r="F111" i="6"/>
  <c r="H110" i="6"/>
  <c r="H95" i="7"/>
  <c r="F96" i="7"/>
  <c r="G96" i="7"/>
  <c r="E96" i="7"/>
  <c r="H53" i="7"/>
  <c r="F54" i="7"/>
  <c r="G54" i="7"/>
  <c r="E54" i="7"/>
  <c r="H79" i="6"/>
  <c r="H80" i="6" s="1"/>
  <c r="F80" i="6"/>
  <c r="E80" i="6"/>
  <c r="G80" i="6"/>
  <c r="H43" i="6"/>
  <c r="F44" i="6"/>
  <c r="G44" i="6"/>
  <c r="G118" i="5"/>
  <c r="H118" i="5"/>
  <c r="E112" i="3"/>
  <c r="D112" i="3"/>
  <c r="F112" i="3"/>
  <c r="D52" i="3"/>
  <c r="G52" i="3"/>
  <c r="E83" i="3"/>
  <c r="D83" i="3"/>
  <c r="D44" i="3"/>
  <c r="D45" i="3" s="1"/>
  <c r="D46" i="3" s="1"/>
  <c r="D47" i="3" s="1"/>
  <c r="G111" i="3"/>
  <c r="G112" i="3" s="1"/>
  <c r="E52" i="3"/>
  <c r="F83" i="3"/>
  <c r="F52" i="3"/>
  <c r="H82" i="3"/>
  <c r="E118" i="5"/>
  <c r="F118" i="5"/>
  <c r="H262" i="5"/>
  <c r="H130" i="6"/>
  <c r="H131" i="6" s="1"/>
  <c r="G131" i="6"/>
  <c r="F131" i="6"/>
  <c r="F43" i="2"/>
  <c r="E80" i="2"/>
  <c r="G79" i="2"/>
  <c r="G80" i="2" s="1"/>
  <c r="G42" i="2"/>
  <c r="H42" i="2" s="1"/>
  <c r="G143" i="2"/>
  <c r="G144" i="2" s="1"/>
  <c r="D144" i="2"/>
  <c r="E144" i="2"/>
  <c r="G43" i="2"/>
  <c r="G57" i="1"/>
  <c r="D62" i="1" s="1"/>
  <c r="G122" i="1"/>
  <c r="D135" i="1" s="1"/>
  <c r="G29" i="1"/>
  <c r="G33" i="1" s="1"/>
  <c r="G88" i="1"/>
  <c r="G108" i="1"/>
  <c r="G61" i="1"/>
  <c r="H111" i="6" l="1"/>
  <c r="I110" i="6"/>
  <c r="I111" i="6" s="1"/>
  <c r="I130" i="6"/>
  <c r="I79" i="6"/>
  <c r="I80" i="6" s="1"/>
  <c r="H96" i="7"/>
  <c r="I95" i="7"/>
  <c r="I53" i="7"/>
  <c r="H54" i="7"/>
  <c r="H44" i="6"/>
  <c r="I43" i="6"/>
  <c r="I117" i="5"/>
  <c r="H111" i="3"/>
  <c r="G83" i="3"/>
  <c r="H112" i="3"/>
  <c r="H51" i="3"/>
  <c r="H52" i="3"/>
  <c r="H136" i="3"/>
  <c r="H160" i="3"/>
  <c r="H83" i="3"/>
  <c r="I118" i="5"/>
  <c r="I131" i="6"/>
  <c r="H124" i="2"/>
  <c r="H43" i="2"/>
  <c r="H144" i="2"/>
  <c r="H80" i="2"/>
  <c r="H79" i="2"/>
  <c r="H123" i="2"/>
  <c r="H143" i="2"/>
  <c r="F135" i="1"/>
  <c r="G134" i="1"/>
  <c r="E135" i="1"/>
  <c r="D113" i="1"/>
  <c r="G112" i="1"/>
  <c r="E113" i="1"/>
  <c r="F113" i="1"/>
  <c r="D93" i="1"/>
  <c r="E93" i="1"/>
  <c r="G92" i="1"/>
  <c r="F93" i="1"/>
  <c r="G34" i="1"/>
  <c r="D34" i="1"/>
  <c r="E34" i="1"/>
  <c r="F34" i="1"/>
  <c r="G62" i="1"/>
  <c r="E62" i="1"/>
  <c r="F62" i="1"/>
  <c r="H61" i="1"/>
  <c r="I96" i="7" l="1"/>
  <c r="I54" i="7"/>
  <c r="I44" i="6"/>
  <c r="H177" i="1"/>
  <c r="H134" i="1"/>
  <c r="G135" i="1"/>
  <c r="H135" i="1" s="1"/>
  <c r="H33" i="1"/>
  <c r="G113" i="1"/>
  <c r="H113" i="1" s="1"/>
  <c r="H112" i="1"/>
  <c r="G93" i="1"/>
  <c r="H92" i="1"/>
  <c r="H93" i="1"/>
  <c r="H34" i="1"/>
  <c r="H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4" authorId="0" shapeId="0" xr:uid="{970A8545-4BEF-4934-ABCA-D41F5F0E5F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
</t>
        </r>
      </text>
    </comment>
    <comment ref="S4" authorId="0" shapeId="0" xr:uid="{502EB166-4A05-461B-B393-81567547F1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V4" authorId="0" shapeId="0" xr:uid="{CDB75EE6-0261-4A06-8BA8-28E223BE91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M6" authorId="0" shapeId="0" xr:uid="{BB0945D2-CCFF-4786-A1A0-EA3FFDC27C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Z8" authorId="0" shapeId="0" xr:uid="{0C916461-8B4B-4A31-B0B2-CC58995191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L9" authorId="0" shapeId="0" xr:uid="{0ACDC15E-D56C-4F7B-8E8E-572A54DDD2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modifikasi plenum chamber
2. average dari kemasan goni dan sak</t>
        </r>
      </text>
    </comment>
    <comment ref="T9" authorId="0" shapeId="0" xr:uid="{A6227CDC-4A83-4035-91ED-5C49C77EFC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U9" authorId="0" shapeId="0" xr:uid="{F6936B84-E50F-4B21-8358-EB46FF1240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Q10" authorId="0" shapeId="0" xr:uid="{8C9F72AF-4319-42EA-AE91-E2058391E0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R10" authorId="0" shapeId="0" xr:uid="{F3B8BF40-4ADC-4331-82BD-CD6CBD5510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W10" authorId="0" shapeId="0" xr:uid="{D7A4AAE4-26B9-4E97-A3C5-026CE5551E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Y10" authorId="0" shapeId="0" xr:uid="{9F5DF902-B4A1-425B-8CD3-A94937683D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AC10" authorId="0" shapeId="0" xr:uid="{36203324-38A9-47AD-A57C-6191766254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modifikasi plenum chamber</t>
        </r>
      </text>
    </comment>
    <comment ref="X11" authorId="0" shapeId="0" xr:uid="{3A00CD4C-4286-47ED-A24E-E23B8D1C1E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4" authorId="0" shapeId="0" xr:uid="{945BDF25-2BB4-4FF4-8E33-E1CDAD065F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
</t>
        </r>
      </text>
    </comment>
    <comment ref="S4" authorId="0" shapeId="0" xr:uid="{2909306C-3716-4E4E-8C19-47A5C7C348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V4" authorId="0" shapeId="0" xr:uid="{441AF33B-A9A0-4205-B7A5-BE994301BD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M6" authorId="0" shapeId="0" xr:uid="{F45E6F4E-CB10-4F9F-A6B1-DED8C18498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AB6" authorId="0" shapeId="0" xr:uid="{71008DA0-617C-4909-B3B1-4E3B54CB70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Z8" authorId="0" shapeId="0" xr:uid="{884936F7-18C3-4B7C-B6CF-6A27F7797C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AB8" authorId="0" shapeId="0" xr:uid="{11499FCC-6445-4113-9D28-172CB145B3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L9" authorId="0" shapeId="0" xr:uid="{BCF0D954-9ADE-4378-8ACA-FDA6968533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modifikasi plenum chamber
2. average dari kemasan goni dan sak</t>
        </r>
      </text>
    </comment>
    <comment ref="T9" authorId="0" shapeId="0" xr:uid="{B659E9B2-DF94-4FD9-9CEB-0D4C30DE21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U9" authorId="0" shapeId="0" xr:uid="{35CADD42-C10A-40BB-93CC-C33F452493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Q10" authorId="0" shapeId="0" xr:uid="{B0A43E2A-AA9D-4712-B9FA-847174C404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R10" authorId="0" shapeId="0" xr:uid="{B2E93500-968B-41DB-BC12-F6FCDF79FA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W10" authorId="0" shapeId="0" xr:uid="{B2D8AF0F-F410-46FF-918E-22FF29C8FA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Y10" authorId="0" shapeId="0" xr:uid="{1EEB04FE-7E8B-49B9-92E9-C6D428240B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  <comment ref="AC10" authorId="0" shapeId="0" xr:uid="{B13A42F0-C55E-4BA4-A3FB-9B81435FFE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modifikasi plenum chamber</t>
        </r>
      </text>
    </comment>
    <comment ref="X11" authorId="0" shapeId="0" xr:uid="{1BB06914-A16A-441C-8CE8-CC610290D2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after modifikasi plenum chamber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9" authorId="0" shapeId="0" xr:uid="{4DB50F62-FE43-4DB8-BB7B-148C5E00A2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A:816 diubah jd 766
</t>
        </r>
      </text>
    </comment>
    <comment ref="F79" authorId="0" shapeId="0" xr:uid="{DFF758BD-C113-47E3-A4A1-9157F63533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A=279 diubah jd 229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53" authorId="0" shapeId="0" xr:uid="{D4E7637E-8C91-4193-825A-ADB3533907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A:503,4 diubah jd 453,4</t>
        </r>
      </text>
    </comment>
    <comment ref="E95" authorId="0" shapeId="0" xr:uid="{7FEE9EF7-726A-490A-991B-E6467D81C5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A:894
</t>
        </r>
      </text>
    </comment>
    <comment ref="F95" authorId="0" shapeId="0" xr:uid="{868D57E7-9952-4E55-9390-B5605B2A09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A:420,4 diubah jd 400,4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3" authorId="0" shapeId="0" xr:uid="{16F5954A-0516-4861-8337-C32D2CEB99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 1007
</t>
        </r>
      </text>
    </comment>
    <comment ref="F53" authorId="0" shapeId="0" xr:uid="{5BC86FE9-E8C4-4AA0-A175-26D220B075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 342,9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40" authorId="0" shapeId="0" xr:uid="{DA3FD877-C2C0-4AF4-9CEF-F3B3408053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A:627,9</t>
        </r>
      </text>
    </comment>
  </commentList>
</comments>
</file>

<file path=xl/sharedStrings.xml><?xml version="1.0" encoding="utf-8"?>
<sst xmlns="http://schemas.openxmlformats.org/spreadsheetml/2006/main" count="9323" uniqueCount="207">
  <si>
    <t>Customer</t>
  </si>
  <si>
    <t>RAJANGAN</t>
  </si>
  <si>
    <t>Origin</t>
  </si>
  <si>
    <t>Gross (Kg)</t>
  </si>
  <si>
    <t>Tare (Kg)</t>
  </si>
  <si>
    <t>Netto ( Kg)</t>
  </si>
  <si>
    <t>Pack Type</t>
  </si>
  <si>
    <t>Product Type</t>
  </si>
  <si>
    <t>Maesan</t>
  </si>
  <si>
    <t>Paiton</t>
  </si>
  <si>
    <t>Ploso</t>
  </si>
  <si>
    <t>Lombok 24</t>
  </si>
  <si>
    <t>Madura</t>
  </si>
  <si>
    <t>Temanggung</t>
  </si>
  <si>
    <t>C48</t>
  </si>
  <si>
    <t>Date of Receipt</t>
  </si>
  <si>
    <t>Remark :</t>
  </si>
  <si>
    <t>2. Tare qty. Based on actual weighing during the process.</t>
  </si>
  <si>
    <t>1. Gross qty. Based on Surat Jalan.</t>
  </si>
  <si>
    <t>Delivery Note Number</t>
  </si>
  <si>
    <t>-</t>
  </si>
  <si>
    <t>: Rajangan Maesan</t>
  </si>
  <si>
    <t>Ball Goni</t>
  </si>
  <si>
    <t xml:space="preserve">RAJANGAN </t>
  </si>
  <si>
    <t>MAESAN</t>
  </si>
  <si>
    <t>No</t>
  </si>
  <si>
    <t>Remark</t>
  </si>
  <si>
    <t>GRAND TOTAL</t>
  </si>
  <si>
    <t>SEPARATION RESULTS REPORT :</t>
  </si>
  <si>
    <t>Separation Result :</t>
  </si>
  <si>
    <t>Product Qty (Kg)</t>
  </si>
  <si>
    <t>Bits Stem Qty (Kg)</t>
  </si>
  <si>
    <t>Dust Qty (Kg)</t>
  </si>
  <si>
    <t>Uncountable Waste Qty (Kg)</t>
  </si>
  <si>
    <t>3. Uncountable waste qty. based on teoritical calculation.</t>
  </si>
  <si>
    <t>2. Tare qty. based on actual weighing during the process.</t>
  </si>
  <si>
    <t>1. Gross qty. based on actual weighing during the process.</t>
  </si>
  <si>
    <t>TOTAL Qty (Kg)</t>
  </si>
  <si>
    <t>: Rajangan Paiton</t>
  </si>
  <si>
    <t>PAITON</t>
  </si>
  <si>
    <t>: Rajangan Lombok '24</t>
  </si>
  <si>
    <t>LOMBOK '24</t>
  </si>
  <si>
    <t>Remnant</t>
  </si>
  <si>
    <t>: Rajangan Ploso</t>
  </si>
  <si>
    <t>PLOSO</t>
  </si>
  <si>
    <t>: Rajangan Madura</t>
  </si>
  <si>
    <t>MADURA</t>
  </si>
  <si>
    <t>C-48</t>
  </si>
  <si>
    <t>1. Gross qty. based on average minus teoritical tare weight</t>
  </si>
  <si>
    <t>: Bpk. Bimo (PT. Falih Nur Gemilang)</t>
  </si>
  <si>
    <t>4. Percentage Yield based on total Nett. qty actual weighing.</t>
  </si>
  <si>
    <t>PROCESS CERTIFICATE</t>
  </si>
  <si>
    <r>
      <t xml:space="preserve">PERCENTAGE </t>
    </r>
    <r>
      <rPr>
        <b/>
        <sz val="11"/>
        <color theme="1"/>
        <rFont val="Calibri"/>
        <family val="2"/>
        <scheme val="minor"/>
      </rPr>
      <t>(YIELD)</t>
    </r>
  </si>
  <si>
    <t>1. Material Desc.</t>
  </si>
  <si>
    <t>2. Material Desc.</t>
  </si>
  <si>
    <t>3. Material Desc.</t>
  </si>
  <si>
    <t>4. Material Desc.</t>
  </si>
  <si>
    <t>5. Material Desc.</t>
  </si>
  <si>
    <t>Issued Date :</t>
  </si>
  <si>
    <t>6. Material Desc.</t>
  </si>
  <si>
    <t>: Rajangan Temanggung</t>
  </si>
  <si>
    <t>Sak</t>
  </si>
  <si>
    <t>TEMANGGUNG</t>
  </si>
  <si>
    <t>DELIVERY NOTE :</t>
  </si>
  <si>
    <t xml:space="preserve">Lombok </t>
  </si>
  <si>
    <t xml:space="preserve">LOMBOK </t>
  </si>
  <si>
    <t xml:space="preserve"> </t>
  </si>
  <si>
    <t xml:space="preserve">: Rajangan Lombok </t>
  </si>
  <si>
    <t>BATCH 1</t>
  </si>
  <si>
    <t>BATCH 2</t>
  </si>
  <si>
    <t>BATCH 3</t>
  </si>
  <si>
    <t>BATCH 4</t>
  </si>
  <si>
    <t>BATCH 5</t>
  </si>
  <si>
    <t>NO</t>
  </si>
  <si>
    <t>PRODUCT</t>
  </si>
  <si>
    <t>ORIGIN</t>
  </si>
  <si>
    <t>LOMBOK P9</t>
  </si>
  <si>
    <t>PAITON P10</t>
  </si>
  <si>
    <t>MADURA P11</t>
  </si>
  <si>
    <t>: PAITON P10</t>
  </si>
  <si>
    <t>LOMBOK '25</t>
  </si>
  <si>
    <t>PAITON P10-5</t>
  </si>
  <si>
    <t>: LOMBOK '25</t>
  </si>
  <si>
    <t>KASTURI</t>
  </si>
  <si>
    <t>REMBANG</t>
  </si>
  <si>
    <t>: KASTURI</t>
  </si>
  <si>
    <t>: TEMANGGUNG</t>
  </si>
  <si>
    <t>: MADURA'25</t>
  </si>
  <si>
    <t>MADURA'25</t>
  </si>
  <si>
    <t>: LOMBOK '24</t>
  </si>
  <si>
    <t>Karung Sak</t>
  </si>
  <si>
    <t>: PAITON</t>
  </si>
  <si>
    <t>Revisi</t>
  </si>
  <si>
    <t>selisih</t>
  </si>
  <si>
    <t>Keterangan</t>
  </si>
  <si>
    <t>Simpan dan tunggu info setelah batch 1 selesai</t>
  </si>
  <si>
    <t>1 sak ada di probolinggo, 132,3 kg itu kelebihannya terkirim</t>
  </si>
  <si>
    <t>Total Pack (Unit)</t>
  </si>
  <si>
    <t>1. Gross qty. Based on Delivery Note.</t>
  </si>
  <si>
    <t>BATCH 6</t>
  </si>
  <si>
    <t>BATCH 7</t>
  </si>
  <si>
    <t>Lombok 25</t>
  </si>
  <si>
    <t>Madura 25</t>
  </si>
  <si>
    <t>Total Pack</t>
  </si>
  <si>
    <t>: Rajangan Rembang</t>
  </si>
  <si>
    <t>1. Gross Qty. Based on Delivery Note.</t>
  </si>
  <si>
    <t>2. Tare Qty. Based on actual weighing during the process.</t>
  </si>
  <si>
    <t>LOMBOK'24</t>
  </si>
  <si>
    <t>MADURA '25</t>
  </si>
  <si>
    <t>2 KERING SDH JEMUR</t>
  </si>
  <si>
    <t>JEMUR BASAH (KONFIRMASI VIAN)</t>
  </si>
  <si>
    <t>BASAH</t>
  </si>
  <si>
    <t>kurang</t>
  </si>
  <si>
    <t>BATCH 8</t>
  </si>
  <si>
    <t>BATCH 9</t>
  </si>
  <si>
    <t>BATCH 10</t>
  </si>
  <si>
    <t>BATCH 11</t>
  </si>
  <si>
    <t>BATCH 12</t>
  </si>
  <si>
    <t>BATCH 13</t>
  </si>
  <si>
    <t>BATCH 14</t>
  </si>
  <si>
    <t>BATCH 15</t>
  </si>
  <si>
    <t>KT</t>
  </si>
  <si>
    <t>SLSH</t>
  </si>
  <si>
    <t>1. Material Desc : LOMBOK P9</t>
  </si>
  <si>
    <t>2. Material Desc : PAITON P10</t>
  </si>
  <si>
    <t>3. Material Desc : MADURA P11</t>
  </si>
  <si>
    <t>1. Material Desc : LOMBOK '25</t>
  </si>
  <si>
    <t>2. Material Desc : PAITON P10-5</t>
  </si>
  <si>
    <t>3. Material Desc : Temanggung</t>
  </si>
  <si>
    <t xml:space="preserve">1. Material Desc : LOMBOK </t>
  </si>
  <si>
    <t>2. Material Desc : KASTURI</t>
  </si>
  <si>
    <t>1. Material Desc : PLOSO</t>
  </si>
  <si>
    <t>Yield Historical :</t>
  </si>
  <si>
    <t>Bits Stem Historical :</t>
  </si>
  <si>
    <t>Dust Historical :</t>
  </si>
  <si>
    <t>Accountable Waste Historical :</t>
  </si>
  <si>
    <t>Note :</t>
  </si>
  <si>
    <t>&gt; 70 %</t>
  </si>
  <si>
    <t>&gt; 30 %</t>
  </si>
  <si>
    <t>65 % - 70 %</t>
  </si>
  <si>
    <t>&lt; 65 %</t>
  </si>
  <si>
    <t>2 % - 2,5 %</t>
  </si>
  <si>
    <t>MATERIAL RECEIPT LIST :</t>
  </si>
  <si>
    <t>1. Gross qty. Based on Material receipt list.</t>
  </si>
  <si>
    <t>1. Material Desc : REMBANG</t>
  </si>
  <si>
    <t>1. Material Desc : TEMANGGUNG</t>
  </si>
  <si>
    <t>001879</t>
  </si>
  <si>
    <t>001886</t>
  </si>
  <si>
    <t>1. Material Desc : MADURA</t>
  </si>
  <si>
    <t>SJ/FNG/VTC/06/26</t>
  </si>
  <si>
    <t>REMBANG (P8B4)</t>
  </si>
  <si>
    <t>1. Material Desc : REMBANG (P8B4)</t>
  </si>
  <si>
    <t>SJ/FNG/VT/07/07/26</t>
  </si>
  <si>
    <t>BATCH 16</t>
  </si>
  <si>
    <t>BATCH 17</t>
  </si>
  <si>
    <t>BATCH 18</t>
  </si>
  <si>
    <t>BATCH 19</t>
  </si>
  <si>
    <t>BATCH 20</t>
  </si>
  <si>
    <t>BATCH 21</t>
  </si>
  <si>
    <t>BATCH 22</t>
  </si>
  <si>
    <t>BATCH 23</t>
  </si>
  <si>
    <t>BATCH 24</t>
  </si>
  <si>
    <t>BATCH 25</t>
  </si>
  <si>
    <t>BATCH 26</t>
  </si>
  <si>
    <t>BATCH 27</t>
  </si>
  <si>
    <t>SJ/FNG/VT/06/26</t>
  </si>
  <si>
    <t>LOMBOK'25</t>
  </si>
  <si>
    <t>1. Material Desc : LOMBOK'25</t>
  </si>
  <si>
    <t>SJ/FNG/VT/10/07/26</t>
  </si>
  <si>
    <t>TEMANGGUNG FN405</t>
  </si>
  <si>
    <t>1. Material Desc : TEMANGGUNG FN405</t>
  </si>
  <si>
    <t>SELISIH TIMBANGAN PROSES 5 BALL</t>
  </si>
  <si>
    <t>BASAH, PATAH AS AIRLOCK 2</t>
  </si>
  <si>
    <t>&lt; 2 %</t>
  </si>
  <si>
    <t>&gt; 2,5 %</t>
  </si>
  <si>
    <t>&lt; 1,5 %</t>
  </si>
  <si>
    <t>1,5 % - 2,0 %</t>
  </si>
  <si>
    <t>&gt; 2,0 %</t>
  </si>
  <si>
    <t>27 % - 30 %</t>
  </si>
  <si>
    <t>&lt;27%</t>
  </si>
  <si>
    <t>lap</t>
  </si>
  <si>
    <t>sj</t>
  </si>
  <si>
    <t>1. Material Desc : LOMBOK'24</t>
  </si>
  <si>
    <t>h</t>
  </si>
  <si>
    <t>KASTURI FN602</t>
  </si>
  <si>
    <t>PAITON P10T5</t>
  </si>
  <si>
    <t>2. Material Desc : KASTURI FN602</t>
  </si>
  <si>
    <t>3. Material Desc : PAITON P10T5</t>
  </si>
  <si>
    <t>SJ/FNG/VT/20/07/26</t>
  </si>
  <si>
    <t>TEMANGGUNG FN504</t>
  </si>
  <si>
    <t>DELIVERY NOTE (DN) :</t>
  </si>
  <si>
    <t>MATERIAL RECEIPT LIST (MRL) :</t>
  </si>
  <si>
    <t>Weight Discrepancy DN vs MRL (Kg)</t>
  </si>
  <si>
    <t>: PT. Falih Nur Gemilang</t>
  </si>
  <si>
    <t>g</t>
  </si>
  <si>
    <t>d</t>
  </si>
  <si>
    <t>besar</t>
  </si>
  <si>
    <t>1. Material Desc : TEMANGGUNG FN504</t>
  </si>
  <si>
    <t>Yield Historical (Kg) :</t>
  </si>
  <si>
    <t>Bits Stem Historical (Kg):</t>
  </si>
  <si>
    <t>Dust Historical (Kg) :</t>
  </si>
  <si>
    <t>Accountable Waste Historical (Kg) :</t>
  </si>
  <si>
    <t>SJ/FNG/VT/23/07/26</t>
  </si>
  <si>
    <t>LOMBOK P9K5</t>
  </si>
  <si>
    <t>1. Material Desc : PAITON P10T5</t>
  </si>
  <si>
    <t>2. Material Desc : LOMBOK P9K5</t>
  </si>
  <si>
    <t>LOMBOK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</si>
</sst>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86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/>
    </xf>
    <xf numFmtId="10" fontId="2" fillId="0" borderId="1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10" fontId="0" fillId="0" borderId="1" xfId="1" applyNumberFormat="1" applyFont="1" applyBorder="1" applyAlignment="1">
      <alignment horizontal="center" vertical="center"/>
    </xf>
    <xf numFmtId="10" fontId="0" fillId="0" borderId="0" xfId="0" applyNumberFormat="1"/>
    <xf numFmtId="10" fontId="0" fillId="0" borderId="2" xfId="0" applyNumberFormat="1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2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10" fontId="1" fillId="0" borderId="1" xfId="1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10" fontId="2" fillId="0" borderId="1" xfId="1" applyNumberFormat="1" applyFont="1" applyFill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1" fontId="0" fillId="4" borderId="2" xfId="0" applyNumberFormat="1" applyFill="1" applyBorder="1" applyAlignment="1">
      <alignment horizontal="center" vertical="center"/>
    </xf>
    <xf numFmtId="10" fontId="16" fillId="0" borderId="2" xfId="0" applyNumberFormat="1" applyFont="1" applyBorder="1"/>
    <xf numFmtId="1" fontId="0" fillId="3" borderId="2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17" fillId="0" borderId="0" xfId="0" applyNumberFormat="1" applyFont="1" applyAlignment="1">
      <alignment horizontal="left" vertical="center"/>
    </xf>
    <xf numFmtId="1" fontId="0" fillId="0" borderId="6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left" vertical="center"/>
    </xf>
    <xf numFmtId="10" fontId="0" fillId="0" borderId="7" xfId="0" applyNumberFormat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0" fontId="1" fillId="0" borderId="1" xfId="1" applyNumberFormat="1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64" fontId="0" fillId="0" borderId="0" xfId="1" applyNumberFormat="1" applyFont="1"/>
    <xf numFmtId="0" fontId="18" fillId="0" borderId="0" xfId="0" applyFont="1"/>
    <xf numFmtId="49" fontId="1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" fontId="13" fillId="2" borderId="7" xfId="0" applyNumberFormat="1" applyFon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3" fontId="2" fillId="6" borderId="7" xfId="0" applyNumberFormat="1" applyFont="1" applyFill="1" applyBorder="1" applyAlignment="1">
      <alignment horizontal="center"/>
    </xf>
    <xf numFmtId="10" fontId="2" fillId="0" borderId="0" xfId="0" applyNumberFormat="1" applyFont="1"/>
    <xf numFmtId="3" fontId="12" fillId="0" borderId="0" xfId="0" applyNumberFormat="1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0" fontId="2" fillId="6" borderId="8" xfId="0" applyNumberFormat="1" applyFont="1" applyFill="1" applyBorder="1" applyAlignment="1">
      <alignment horizontal="center"/>
    </xf>
    <xf numFmtId="10" fontId="2" fillId="6" borderId="9" xfId="0" applyNumberFormat="1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</cellXfs>
  <cellStyles count="3">
    <cellStyle name="Normal" xfId="0" builtinId="0"/>
    <cellStyle name="Normal 2" xfId="2" xr:uid="{8C8AB669-DECD-4C7F-BC97-EA84E5F3B632}"/>
    <cellStyle name="Percent" xfId="1" builtinId="5"/>
  </cellStyles>
  <dxfs count="135">
    <dxf>
      <font>
        <color rgb="FFFF0000"/>
      </font>
    </dxf>
    <dxf>
      <font>
        <color rgb="FF7030A0"/>
      </font>
    </dxf>
    <dxf>
      <font>
        <color rgb="FF00B050"/>
      </font>
    </dxf>
    <dxf>
      <font>
        <color rgb="FFFF0000"/>
      </font>
    </dxf>
    <dxf>
      <font>
        <color rgb="FF7030A0"/>
      </font>
    </dxf>
    <dxf>
      <font>
        <color rgb="FF00B05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39FB-EDB3-4998-99C7-A893FF2E7DFD}">
  <sheetPr>
    <tabColor rgb="FFFFFF00"/>
    <pageSetUpPr fitToPage="1"/>
  </sheetPr>
  <dimension ref="A1:AD49"/>
  <sheetViews>
    <sheetView showGridLines="0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Y13" sqref="Y13"/>
    </sheetView>
  </sheetViews>
  <sheetFormatPr defaultRowHeight="15" x14ac:dyDescent="0.25"/>
  <cols>
    <col min="1" max="1" width="7.140625" style="26" bestFit="1" customWidth="1"/>
    <col min="2" max="2" width="10.85546875" bestFit="1" customWidth="1"/>
    <col min="3" max="3" width="12.28515625" bestFit="1" customWidth="1"/>
    <col min="4" max="4" width="11.85546875" style="65" bestFit="1" customWidth="1"/>
    <col min="5" max="10" width="9.140625" style="64" customWidth="1"/>
    <col min="11" max="12" width="9.140625" style="63" customWidth="1"/>
    <col min="13" max="18" width="10.28515625" style="63" customWidth="1"/>
    <col min="19" max="19" width="10.28515625" style="64" customWidth="1"/>
    <col min="20" max="20" width="10.28515625" style="64" bestFit="1" customWidth="1"/>
    <col min="21" max="22" width="10.28515625" style="64" customWidth="1"/>
    <col min="23" max="26" width="10.28515625" style="63" customWidth="1"/>
    <col min="27" max="29" width="10.28515625" style="63" hidden="1" customWidth="1"/>
    <col min="30" max="30" width="10.28515625" hidden="1" customWidth="1"/>
    <col min="31" max="32" width="9.140625" customWidth="1"/>
  </cols>
  <sheetData>
    <row r="1" spans="1:30" s="39" customFormat="1" ht="18.75" x14ac:dyDescent="0.3">
      <c r="A1" s="84" t="s">
        <v>198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</row>
    <row r="2" spans="1:30" s="40" customFormat="1" ht="15.75" x14ac:dyDescent="0.25">
      <c r="A2" s="51" t="s">
        <v>73</v>
      </c>
      <c r="B2" s="52" t="s">
        <v>74</v>
      </c>
      <c r="C2" s="52" t="s">
        <v>75</v>
      </c>
      <c r="D2" s="61" t="s">
        <v>68</v>
      </c>
      <c r="E2" s="61" t="s">
        <v>69</v>
      </c>
      <c r="F2" s="61" t="s">
        <v>70</v>
      </c>
      <c r="G2" s="61" t="s">
        <v>71</v>
      </c>
      <c r="H2" s="61" t="s">
        <v>72</v>
      </c>
      <c r="I2" s="61" t="s">
        <v>99</v>
      </c>
      <c r="J2" s="61" t="s">
        <v>100</v>
      </c>
      <c r="K2" s="61" t="s">
        <v>113</v>
      </c>
      <c r="L2" s="61" t="s">
        <v>114</v>
      </c>
      <c r="M2" s="61" t="s">
        <v>115</v>
      </c>
      <c r="N2" s="61" t="s">
        <v>116</v>
      </c>
      <c r="O2" s="61" t="s">
        <v>117</v>
      </c>
      <c r="P2" s="61" t="s">
        <v>118</v>
      </c>
      <c r="Q2" s="61" t="s">
        <v>119</v>
      </c>
      <c r="R2" s="61" t="s">
        <v>120</v>
      </c>
      <c r="S2" s="61" t="s">
        <v>153</v>
      </c>
      <c r="T2" s="61" t="s">
        <v>154</v>
      </c>
      <c r="U2" s="61" t="s">
        <v>155</v>
      </c>
      <c r="V2" s="61" t="s">
        <v>156</v>
      </c>
      <c r="W2" s="61" t="s">
        <v>157</v>
      </c>
      <c r="X2" s="61" t="s">
        <v>158</v>
      </c>
      <c r="Y2" s="61" t="s">
        <v>159</v>
      </c>
      <c r="Z2" s="61" t="s">
        <v>160</v>
      </c>
      <c r="AA2" s="61" t="s">
        <v>161</v>
      </c>
      <c r="AB2" s="61" t="s">
        <v>162</v>
      </c>
      <c r="AC2" s="61" t="s">
        <v>163</v>
      </c>
      <c r="AD2" s="52" t="s">
        <v>164</v>
      </c>
    </row>
    <row r="3" spans="1:30" x14ac:dyDescent="0.25">
      <c r="A3" s="48">
        <v>1</v>
      </c>
      <c r="B3" s="49" t="s">
        <v>1</v>
      </c>
      <c r="C3" s="49" t="s">
        <v>83</v>
      </c>
      <c r="D3" s="62">
        <f>'SPR Batch 1'!E117</f>
        <v>3011.9</v>
      </c>
      <c r="E3" s="62"/>
      <c r="F3" s="62"/>
      <c r="G3" s="62"/>
      <c r="H3" s="62"/>
      <c r="I3" s="62"/>
      <c r="J3" s="62">
        <f>'SPR Batch 7'!E89</f>
        <v>251.9</v>
      </c>
      <c r="K3" s="62">
        <f>'SPR Batch8'!E139</f>
        <v>425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50"/>
    </row>
    <row r="4" spans="1:30" x14ac:dyDescent="0.25">
      <c r="A4" s="48">
        <f>A3+1</f>
        <v>2</v>
      </c>
      <c r="B4" s="49" t="s">
        <v>1</v>
      </c>
      <c r="C4" s="49" t="s">
        <v>84</v>
      </c>
      <c r="D4" s="62">
        <f>'SPR Batch 1'!E262</f>
        <v>4850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>
        <f>'SPR Batch13'!E97</f>
        <v>3122.9</v>
      </c>
      <c r="Q4" s="62"/>
      <c r="R4" s="62"/>
      <c r="S4" s="62">
        <f>'SPR Batch16'!E54</f>
        <v>1255.0999999999999</v>
      </c>
      <c r="T4" s="62"/>
      <c r="U4" s="62"/>
      <c r="V4" s="62">
        <f>'SPR Batch19'!E68</f>
        <v>1646.4</v>
      </c>
      <c r="W4" s="62"/>
      <c r="X4" s="62"/>
      <c r="Y4" s="62"/>
      <c r="Z4" s="62"/>
      <c r="AA4" s="62"/>
      <c r="AB4" s="62"/>
      <c r="AC4" s="62"/>
      <c r="AD4" s="50"/>
    </row>
    <row r="5" spans="1:30" s="24" customFormat="1" x14ac:dyDescent="0.25">
      <c r="A5" s="48">
        <f t="shared" ref="A5:A11" si="0">A4+1</f>
        <v>3</v>
      </c>
      <c r="B5" s="49" t="s">
        <v>1</v>
      </c>
      <c r="C5" s="49" t="s">
        <v>8</v>
      </c>
      <c r="D5" s="62"/>
      <c r="E5" s="62">
        <f>'SPR Batch 2'!D33</f>
        <v>285.10000000000002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50"/>
    </row>
    <row r="6" spans="1:30" s="24" customFormat="1" x14ac:dyDescent="0.25">
      <c r="A6" s="48">
        <f t="shared" si="0"/>
        <v>4</v>
      </c>
      <c r="B6" s="49" t="s">
        <v>1</v>
      </c>
      <c r="C6" s="49" t="s">
        <v>9</v>
      </c>
      <c r="D6" s="62"/>
      <c r="E6" s="62">
        <f>'SPR Batch 2'!D61</f>
        <v>470.9</v>
      </c>
      <c r="F6" s="62">
        <f>'SPR Batch 3 '!D79</f>
        <v>770.8</v>
      </c>
      <c r="G6" s="62">
        <f>'SPR Batch 4 '!D82</f>
        <v>527.70000000000005</v>
      </c>
      <c r="H6" s="62">
        <f>'SPR Batch 5'!E79</f>
        <v>816</v>
      </c>
      <c r="I6" s="62">
        <f>'SPR Batch6'!E95</f>
        <v>894.4</v>
      </c>
      <c r="J6" s="62"/>
      <c r="K6" s="62">
        <f>'SPR Batch8'!E72</f>
        <v>445.7</v>
      </c>
      <c r="L6" s="62"/>
      <c r="M6" s="62">
        <f>'SPR Batch10'!E51</f>
        <v>1186.2</v>
      </c>
      <c r="N6" s="62"/>
      <c r="O6" s="62">
        <f>'SPR Batch12'!E103</f>
        <v>2581.9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50"/>
    </row>
    <row r="7" spans="1:30" s="24" customFormat="1" x14ac:dyDescent="0.25">
      <c r="A7" s="48">
        <f t="shared" si="0"/>
        <v>5</v>
      </c>
      <c r="B7" s="49" t="s">
        <v>1</v>
      </c>
      <c r="C7" s="49" t="s">
        <v>10</v>
      </c>
      <c r="D7" s="62"/>
      <c r="E7" s="62">
        <f>'SPR Batch 2'!D112</f>
        <v>187.2</v>
      </c>
      <c r="F7" s="62">
        <f>'SPR Batch 3 '!D42</f>
        <v>563.29999999999995</v>
      </c>
      <c r="G7" s="62"/>
      <c r="H7" s="62"/>
      <c r="I7" s="62"/>
      <c r="J7" s="62"/>
      <c r="K7" s="62"/>
      <c r="L7" s="62"/>
      <c r="M7" s="62"/>
      <c r="N7" s="62">
        <f>'SPR Batch11'!E103</f>
        <v>2561.6</v>
      </c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50"/>
    </row>
    <row r="8" spans="1:30" s="24" customFormat="1" x14ac:dyDescent="0.25">
      <c r="A8" s="48">
        <f t="shared" si="0"/>
        <v>6</v>
      </c>
      <c r="B8" s="49" t="s">
        <v>1</v>
      </c>
      <c r="C8" s="49" t="s">
        <v>11</v>
      </c>
      <c r="D8" s="62"/>
      <c r="E8" s="62">
        <f>'SPR Batch 2'!D92</f>
        <v>496.2</v>
      </c>
      <c r="F8" s="62">
        <f>'SPR Batch 3 '!D123</f>
        <v>896.3</v>
      </c>
      <c r="G8" s="62">
        <f>'SPR Batch 4 '!D51</f>
        <v>786.6</v>
      </c>
      <c r="H8" s="62">
        <f>'SPR Batch 5'!E43</f>
        <v>664.8</v>
      </c>
      <c r="I8" s="62"/>
      <c r="J8" s="62"/>
      <c r="K8" s="62">
        <f>'SPR Batch8'!E47</f>
        <v>758.3</v>
      </c>
      <c r="L8" s="62">
        <f>'SPR Batch9'!E53</f>
        <v>1007</v>
      </c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>
        <f>'SPR Batch23'!E79</f>
        <v>1793.2</v>
      </c>
      <c r="AA8" s="62"/>
      <c r="AB8" s="62"/>
      <c r="AC8" s="62"/>
      <c r="AD8" s="50"/>
    </row>
    <row r="9" spans="1:30" s="24" customFormat="1" x14ac:dyDescent="0.25">
      <c r="A9" s="48">
        <f t="shared" si="0"/>
        <v>7</v>
      </c>
      <c r="B9" s="49" t="s">
        <v>1</v>
      </c>
      <c r="C9" s="49" t="s">
        <v>102</v>
      </c>
      <c r="D9" s="62"/>
      <c r="E9" s="62">
        <f>'SPR Batch 2'!D134</f>
        <v>511</v>
      </c>
      <c r="F9" s="62"/>
      <c r="G9" s="62">
        <f>'SPR Batch 4 '!D135</f>
        <v>412</v>
      </c>
      <c r="H9" s="62">
        <f>'SPR Batch 5'!E110</f>
        <v>671.6</v>
      </c>
      <c r="I9" s="62"/>
      <c r="J9" s="62"/>
      <c r="K9" s="62">
        <f>'SPR Batch8'!E96</f>
        <v>397.3</v>
      </c>
      <c r="L9" s="62">
        <f>'SPR Batch9'!K104</f>
        <v>607.80000000000007</v>
      </c>
      <c r="M9" s="62"/>
      <c r="N9" s="62"/>
      <c r="O9" s="62"/>
      <c r="P9" s="62"/>
      <c r="Q9" s="62"/>
      <c r="R9" s="62"/>
      <c r="S9" s="62"/>
      <c r="T9" s="62">
        <f>'SPR Batch17'!E105</f>
        <v>2936.8</v>
      </c>
      <c r="U9" s="62">
        <f>'SPR Batch18'!E188</f>
        <v>6145.5</v>
      </c>
      <c r="V9" s="62"/>
      <c r="W9" s="62"/>
      <c r="X9" s="62"/>
      <c r="Y9" s="62"/>
      <c r="Z9" s="62"/>
      <c r="AA9" s="62"/>
      <c r="AB9" s="62"/>
      <c r="AC9" s="62"/>
      <c r="AD9" s="50"/>
    </row>
    <row r="10" spans="1:30" s="24" customFormat="1" x14ac:dyDescent="0.25">
      <c r="A10" s="48">
        <f t="shared" si="0"/>
        <v>8</v>
      </c>
      <c r="B10" s="49" t="s">
        <v>1</v>
      </c>
      <c r="C10" s="49" t="s">
        <v>13</v>
      </c>
      <c r="D10" s="62"/>
      <c r="E10" s="62">
        <f>'SPR Batch 2'!D176</f>
        <v>382.5</v>
      </c>
      <c r="F10" s="62">
        <f>'SPR Batch 3 '!D143</f>
        <v>380.5</v>
      </c>
      <c r="G10" s="62">
        <f>'SPR Batch 4 '!D111</f>
        <v>222.6</v>
      </c>
      <c r="H10" s="62"/>
      <c r="I10" s="62">
        <f>'SPR Batch6'!E113</f>
        <v>160</v>
      </c>
      <c r="J10" s="62">
        <f>'SPR Batch 7'!E143</f>
        <v>426.3</v>
      </c>
      <c r="K10" s="62">
        <f>'SPR Batch8'!E113</f>
        <v>204</v>
      </c>
      <c r="L10" s="62">
        <f>'SPR Batch9'!E75</f>
        <v>418</v>
      </c>
      <c r="M10" s="62">
        <f>'SPR Batch10'!E71</f>
        <v>318</v>
      </c>
      <c r="N10" s="62"/>
      <c r="O10" s="62"/>
      <c r="P10" s="62"/>
      <c r="Q10" s="62">
        <f>'SPR Batch14'!E31</f>
        <v>731.6</v>
      </c>
      <c r="R10" s="62">
        <f>'SPR Batch15'!E32</f>
        <v>827</v>
      </c>
      <c r="S10" s="62"/>
      <c r="T10" s="62"/>
      <c r="U10" s="62"/>
      <c r="V10" s="62"/>
      <c r="W10" s="62">
        <f>'SPR Batch20'!E30</f>
        <v>752.3</v>
      </c>
      <c r="X10" s="62"/>
      <c r="Y10" s="62">
        <f>'SPR Batch22'!E30</f>
        <v>737.5</v>
      </c>
      <c r="Z10" s="62"/>
      <c r="AA10" s="62"/>
      <c r="AB10" s="62"/>
      <c r="AC10" s="62"/>
      <c r="AD10" s="50"/>
    </row>
    <row r="11" spans="1:30" s="24" customFormat="1" x14ac:dyDescent="0.25">
      <c r="A11" s="48">
        <f t="shared" si="0"/>
        <v>9</v>
      </c>
      <c r="B11" s="49" t="s">
        <v>1</v>
      </c>
      <c r="C11" s="49" t="s">
        <v>101</v>
      </c>
      <c r="D11" s="62"/>
      <c r="E11" s="62"/>
      <c r="F11" s="62"/>
      <c r="G11" s="62">
        <f>'SPR Batch 4 '!D159</f>
        <v>334.7</v>
      </c>
      <c r="H11" s="62"/>
      <c r="I11" s="62">
        <f>'SPR Batch6'!E53</f>
        <v>827.2</v>
      </c>
      <c r="J11" s="62">
        <f>'SPR Batch 7'!E65</f>
        <v>1195.4000000000001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>
        <f>'SPR Batch21'!E61</f>
        <v>1642.2</v>
      </c>
      <c r="Y11" s="62"/>
      <c r="Z11" s="62"/>
      <c r="AA11" s="62"/>
      <c r="AB11" s="62"/>
      <c r="AC11" s="62"/>
      <c r="AD11" s="50"/>
    </row>
    <row r="12" spans="1:30" s="68" customFormat="1" x14ac:dyDescent="0.25">
      <c r="A12" s="66"/>
      <c r="B12" s="82" t="s">
        <v>27</v>
      </c>
      <c r="C12" s="83"/>
      <c r="D12" s="67">
        <f>SUM(D3:D11)</f>
        <v>7861.9</v>
      </c>
      <c r="E12" s="67">
        <f t="shared" ref="E12:AD12" si="1">SUM(E3:E11)</f>
        <v>2332.9</v>
      </c>
      <c r="F12" s="67">
        <f t="shared" si="1"/>
        <v>2610.8999999999996</v>
      </c>
      <c r="G12" s="67">
        <f t="shared" si="1"/>
        <v>2283.6</v>
      </c>
      <c r="H12" s="67">
        <f t="shared" si="1"/>
        <v>2152.4</v>
      </c>
      <c r="I12" s="67">
        <f t="shared" si="1"/>
        <v>1881.6000000000001</v>
      </c>
      <c r="J12" s="67">
        <f t="shared" si="1"/>
        <v>1873.6000000000001</v>
      </c>
      <c r="K12" s="67">
        <f t="shared" si="1"/>
        <v>2230.3000000000002</v>
      </c>
      <c r="L12" s="67">
        <f t="shared" si="1"/>
        <v>2032.8000000000002</v>
      </c>
      <c r="M12" s="67">
        <f t="shared" si="1"/>
        <v>1504.2</v>
      </c>
      <c r="N12" s="67">
        <f t="shared" si="1"/>
        <v>2561.6</v>
      </c>
      <c r="O12" s="67">
        <f t="shared" si="1"/>
        <v>2581.9</v>
      </c>
      <c r="P12" s="67">
        <f t="shared" si="1"/>
        <v>3122.9</v>
      </c>
      <c r="Q12" s="67">
        <f t="shared" si="1"/>
        <v>731.6</v>
      </c>
      <c r="R12" s="67">
        <f t="shared" si="1"/>
        <v>827</v>
      </c>
      <c r="S12" s="67">
        <f t="shared" si="1"/>
        <v>1255.0999999999999</v>
      </c>
      <c r="T12" s="67">
        <f t="shared" si="1"/>
        <v>2936.8</v>
      </c>
      <c r="U12" s="67">
        <f t="shared" si="1"/>
        <v>6145.5</v>
      </c>
      <c r="V12" s="67">
        <f t="shared" si="1"/>
        <v>1646.4</v>
      </c>
      <c r="W12" s="67">
        <f t="shared" si="1"/>
        <v>752.3</v>
      </c>
      <c r="X12" s="67">
        <f t="shared" si="1"/>
        <v>1642.2</v>
      </c>
      <c r="Y12" s="67">
        <f t="shared" si="1"/>
        <v>737.5</v>
      </c>
      <c r="Z12" s="67">
        <f t="shared" si="1"/>
        <v>1793.2</v>
      </c>
      <c r="AA12" s="67">
        <f t="shared" si="1"/>
        <v>0</v>
      </c>
      <c r="AB12" s="67">
        <f t="shared" si="1"/>
        <v>0</v>
      </c>
      <c r="AC12" s="67">
        <f t="shared" si="1"/>
        <v>0</v>
      </c>
      <c r="AD12" s="67">
        <f t="shared" si="1"/>
        <v>0</v>
      </c>
    </row>
    <row r="13" spans="1:30" s="24" customFormat="1" x14ac:dyDescent="0.25">
      <c r="A13" s="45"/>
      <c r="D13" s="65"/>
      <c r="E13" s="64"/>
      <c r="F13" s="64"/>
      <c r="G13" s="64"/>
      <c r="H13" s="64"/>
      <c r="I13" s="64"/>
      <c r="J13" s="64"/>
      <c r="K13" s="63"/>
      <c r="L13" s="63"/>
      <c r="M13" s="63"/>
      <c r="N13" s="63"/>
      <c r="O13" s="63"/>
      <c r="P13" s="63"/>
      <c r="Q13" s="63"/>
      <c r="R13" s="63"/>
      <c r="S13" s="64"/>
      <c r="T13" s="64"/>
      <c r="U13" s="64"/>
      <c r="V13" s="64"/>
      <c r="W13" s="63"/>
      <c r="X13" s="63"/>
      <c r="Y13" s="63"/>
      <c r="Z13" s="63"/>
      <c r="AA13" s="63"/>
      <c r="AB13" s="63"/>
      <c r="AC13" s="63"/>
    </row>
    <row r="14" spans="1:30" s="39" customFormat="1" ht="18.75" x14ac:dyDescent="0.3">
      <c r="A14" s="84" t="s">
        <v>199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5"/>
      <c r="P14" s="85"/>
      <c r="Q14" s="85"/>
      <c r="R14" s="85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</row>
    <row r="15" spans="1:30" s="40" customFormat="1" ht="15.75" x14ac:dyDescent="0.25">
      <c r="A15" s="51" t="s">
        <v>73</v>
      </c>
      <c r="B15" s="52" t="s">
        <v>74</v>
      </c>
      <c r="C15" s="52" t="s">
        <v>75</v>
      </c>
      <c r="D15" s="61" t="s">
        <v>68</v>
      </c>
      <c r="E15" s="61" t="s">
        <v>69</v>
      </c>
      <c r="F15" s="61" t="s">
        <v>70</v>
      </c>
      <c r="G15" s="61" t="s">
        <v>71</v>
      </c>
      <c r="H15" s="61" t="s">
        <v>72</v>
      </c>
      <c r="I15" s="61" t="s">
        <v>99</v>
      </c>
      <c r="J15" s="61" t="s">
        <v>100</v>
      </c>
      <c r="K15" s="61" t="s">
        <v>113</v>
      </c>
      <c r="L15" s="61" t="s">
        <v>114</v>
      </c>
      <c r="M15" s="61" t="s">
        <v>115</v>
      </c>
      <c r="N15" s="61" t="s">
        <v>116</v>
      </c>
      <c r="O15" s="61" t="s">
        <v>117</v>
      </c>
      <c r="P15" s="61" t="s">
        <v>118</v>
      </c>
      <c r="Q15" s="61" t="s">
        <v>119</v>
      </c>
      <c r="R15" s="61" t="s">
        <v>120</v>
      </c>
      <c r="S15" s="61" t="s">
        <v>153</v>
      </c>
      <c r="T15" s="61" t="s">
        <v>154</v>
      </c>
      <c r="U15" s="61" t="s">
        <v>155</v>
      </c>
      <c r="V15" s="61" t="s">
        <v>156</v>
      </c>
      <c r="W15" s="61" t="s">
        <v>157</v>
      </c>
      <c r="X15" s="61" t="s">
        <v>158</v>
      </c>
      <c r="Y15" s="61" t="s">
        <v>159</v>
      </c>
      <c r="Z15" s="61" t="s">
        <v>160</v>
      </c>
      <c r="AA15" s="61" t="s">
        <v>161</v>
      </c>
      <c r="AB15" s="61" t="s">
        <v>162</v>
      </c>
      <c r="AC15" s="61" t="s">
        <v>163</v>
      </c>
      <c r="AD15" s="52" t="s">
        <v>164</v>
      </c>
    </row>
    <row r="16" spans="1:30" x14ac:dyDescent="0.25">
      <c r="A16" s="48">
        <v>1</v>
      </c>
      <c r="B16" s="49" t="s">
        <v>1</v>
      </c>
      <c r="C16" s="49" t="s">
        <v>83</v>
      </c>
      <c r="D16" s="62">
        <f>'SPR Batch 1'!F117</f>
        <v>916.5</v>
      </c>
      <c r="E16" s="62"/>
      <c r="F16" s="62"/>
      <c r="G16" s="62"/>
      <c r="H16" s="62"/>
      <c r="I16" s="62"/>
      <c r="J16" s="62">
        <f>'SPR Batch 7'!F89</f>
        <v>150.5</v>
      </c>
      <c r="K16" s="62">
        <f>'SPR Batch8'!F139</f>
        <v>88.1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50"/>
    </row>
    <row r="17" spans="1:30" x14ac:dyDescent="0.25">
      <c r="A17" s="48">
        <f>A16+1</f>
        <v>2</v>
      </c>
      <c r="B17" s="49" t="s">
        <v>1</v>
      </c>
      <c r="C17" s="49" t="s">
        <v>84</v>
      </c>
      <c r="D17" s="62">
        <f>'SPR Batch 1'!F262</f>
        <v>848.3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>
        <f>'SPR Batch13'!F97</f>
        <v>309.8</v>
      </c>
      <c r="Q17" s="62"/>
      <c r="R17" s="62"/>
      <c r="S17" s="62">
        <f>'SPR Batch16'!F54</f>
        <v>185.7</v>
      </c>
      <c r="T17" s="62"/>
      <c r="U17" s="62"/>
      <c r="V17" s="62">
        <f>'SPR Batch19'!F68</f>
        <v>227.7</v>
      </c>
      <c r="W17" s="62"/>
      <c r="X17" s="62"/>
      <c r="Y17" s="62"/>
      <c r="Z17" s="62"/>
      <c r="AA17" s="62"/>
      <c r="AB17" s="62"/>
      <c r="AC17" s="62"/>
      <c r="AD17" s="50"/>
    </row>
    <row r="18" spans="1:30" s="24" customFormat="1" x14ac:dyDescent="0.25">
      <c r="A18" s="48">
        <f t="shared" ref="A18:A24" si="2">A17+1</f>
        <v>3</v>
      </c>
      <c r="B18" s="49" t="s">
        <v>1</v>
      </c>
      <c r="C18" s="49" t="s">
        <v>8</v>
      </c>
      <c r="D18" s="62"/>
      <c r="E18" s="62">
        <f>'SPR Batch 2'!E33</f>
        <v>95.2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50"/>
    </row>
    <row r="19" spans="1:30" s="24" customFormat="1" x14ac:dyDescent="0.25">
      <c r="A19" s="48">
        <f t="shared" si="2"/>
        <v>4</v>
      </c>
      <c r="B19" s="49" t="s">
        <v>1</v>
      </c>
      <c r="C19" s="49" t="s">
        <v>9</v>
      </c>
      <c r="D19" s="62"/>
      <c r="E19" s="62">
        <f>'SPR Batch 2'!E61</f>
        <v>251.7</v>
      </c>
      <c r="F19" s="62">
        <f>'SPR Batch 3 '!E79</f>
        <v>357.3</v>
      </c>
      <c r="G19" s="62">
        <f>'SPR Batch 4 '!E82</f>
        <v>251.2</v>
      </c>
      <c r="H19" s="62">
        <f>'SPR Batch 5'!F79</f>
        <v>219</v>
      </c>
      <c r="I19" s="62">
        <f>'SPR Batch6'!F95</f>
        <v>400.4</v>
      </c>
      <c r="J19" s="62"/>
      <c r="K19" s="62">
        <f>'SPR Batch8'!F72</f>
        <v>75.099999999999994</v>
      </c>
      <c r="L19" s="62"/>
      <c r="M19" s="62">
        <f>'SPR Batch10'!F51</f>
        <v>228</v>
      </c>
      <c r="N19" s="62"/>
      <c r="O19" s="62">
        <f>'SPR Batch12'!F103</f>
        <v>984.9</v>
      </c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50"/>
    </row>
    <row r="20" spans="1:30" s="24" customFormat="1" x14ac:dyDescent="0.25">
      <c r="A20" s="48">
        <f t="shared" si="2"/>
        <v>5</v>
      </c>
      <c r="B20" s="49" t="s">
        <v>1</v>
      </c>
      <c r="C20" s="49" t="s">
        <v>10</v>
      </c>
      <c r="D20" s="62"/>
      <c r="E20" s="62">
        <f>'SPR Batch 2'!E112</f>
        <v>78.400000000000006</v>
      </c>
      <c r="F20" s="62">
        <f>'SPR Batch 3 '!E42</f>
        <v>157.80000000000001</v>
      </c>
      <c r="G20" s="62"/>
      <c r="H20" s="62"/>
      <c r="I20" s="62"/>
      <c r="J20" s="62"/>
      <c r="K20" s="62"/>
      <c r="L20" s="62"/>
      <c r="M20" s="62"/>
      <c r="N20" s="62">
        <f>'SPR Batch11'!F103</f>
        <v>753.6</v>
      </c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50"/>
    </row>
    <row r="21" spans="1:30" s="24" customFormat="1" x14ac:dyDescent="0.25">
      <c r="A21" s="48">
        <f t="shared" si="2"/>
        <v>6</v>
      </c>
      <c r="B21" s="49" t="s">
        <v>1</v>
      </c>
      <c r="C21" s="49" t="s">
        <v>11</v>
      </c>
      <c r="D21" s="62"/>
      <c r="E21" s="62">
        <f>'SPR Batch 2'!E92</f>
        <v>211.4</v>
      </c>
      <c r="F21" s="62">
        <f>'SPR Batch 3 '!E123</f>
        <v>432.7</v>
      </c>
      <c r="G21" s="62">
        <f>'SPR Batch 4 '!E51</f>
        <v>345.3</v>
      </c>
      <c r="H21" s="62">
        <f>'SPR Batch 5'!F43</f>
        <v>306.2</v>
      </c>
      <c r="I21" s="62"/>
      <c r="J21" s="62"/>
      <c r="K21" s="62">
        <f>'SPR Batch8'!F47</f>
        <v>263.60000000000002</v>
      </c>
      <c r="L21" s="62">
        <f>'SPR Batch9'!F53</f>
        <v>467.9</v>
      </c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>
        <f>'SPR Batch23'!F79</f>
        <v>377.6</v>
      </c>
      <c r="AA21" s="62"/>
      <c r="AB21" s="62"/>
      <c r="AC21" s="62"/>
      <c r="AD21" s="50"/>
    </row>
    <row r="22" spans="1:30" s="24" customFormat="1" x14ac:dyDescent="0.25">
      <c r="A22" s="48">
        <f t="shared" si="2"/>
        <v>7</v>
      </c>
      <c r="B22" s="49" t="s">
        <v>1</v>
      </c>
      <c r="C22" s="49" t="s">
        <v>102</v>
      </c>
      <c r="D22" s="62"/>
      <c r="E22" s="62">
        <f>'SPR Batch 2'!E134</f>
        <v>126.6</v>
      </c>
      <c r="F22" s="62"/>
      <c r="G22" s="62">
        <f>'SPR Batch 4 '!E135</f>
        <v>67.7</v>
      </c>
      <c r="H22" s="62">
        <f>'SPR Batch 5'!F110</f>
        <v>127.7</v>
      </c>
      <c r="I22" s="62"/>
      <c r="J22" s="62"/>
      <c r="K22" s="62">
        <f>'SPR Batch8'!F96</f>
        <v>115.2</v>
      </c>
      <c r="L22" s="62">
        <f>'SPR Batch9'!L104</f>
        <v>169.4</v>
      </c>
      <c r="M22" s="62"/>
      <c r="N22" s="62"/>
      <c r="O22" s="62"/>
      <c r="P22" s="62"/>
      <c r="Q22" s="62"/>
      <c r="R22" s="62"/>
      <c r="S22" s="62"/>
      <c r="T22" s="62">
        <f>'SPR Batch17'!F105</f>
        <v>201.9</v>
      </c>
      <c r="U22" s="62">
        <f>'SPR Batch18'!F188</f>
        <v>515.6</v>
      </c>
      <c r="V22" s="62"/>
      <c r="W22" s="62"/>
      <c r="X22" s="62"/>
      <c r="Y22" s="62"/>
      <c r="Z22" s="62"/>
      <c r="AA22" s="62"/>
      <c r="AB22" s="62"/>
      <c r="AC22" s="62"/>
      <c r="AD22" s="50"/>
    </row>
    <row r="23" spans="1:30" s="24" customFormat="1" x14ac:dyDescent="0.25">
      <c r="A23" s="48">
        <f t="shared" si="2"/>
        <v>8</v>
      </c>
      <c r="B23" s="49" t="s">
        <v>1</v>
      </c>
      <c r="C23" s="49" t="s">
        <v>13</v>
      </c>
      <c r="D23" s="62"/>
      <c r="E23" s="62">
        <f>'SPR Batch 2'!E176</f>
        <v>295.8</v>
      </c>
      <c r="F23" s="62">
        <f>'SPR Batch 3 '!E143</f>
        <v>307.39999999999998</v>
      </c>
      <c r="G23" s="62">
        <f>'SPR Batch 4 '!E111</f>
        <v>138.80000000000001</v>
      </c>
      <c r="H23" s="62"/>
      <c r="I23" s="62">
        <f>'SPR Batch6'!F113</f>
        <v>134.9</v>
      </c>
      <c r="J23" s="62">
        <f>'SPR Batch 7'!F143</f>
        <v>349.6</v>
      </c>
      <c r="K23" s="62">
        <f>'SPR Batch8'!F113</f>
        <v>188.9</v>
      </c>
      <c r="L23" s="62">
        <f>'SPR Batch9'!F75</f>
        <v>492.9</v>
      </c>
      <c r="M23" s="62">
        <f>'SPR Batch10'!F71</f>
        <v>389</v>
      </c>
      <c r="N23" s="62"/>
      <c r="O23" s="62"/>
      <c r="P23" s="62"/>
      <c r="Q23" s="62">
        <f>'SPR Batch14'!F31</f>
        <v>519.9</v>
      </c>
      <c r="R23" s="62">
        <f>'SPR Batch15'!F32</f>
        <v>561.29999999999995</v>
      </c>
      <c r="S23" s="62"/>
      <c r="T23" s="62"/>
      <c r="U23" s="62"/>
      <c r="V23" s="62"/>
      <c r="W23" s="62">
        <f>'SPR Batch20'!F30</f>
        <v>444.2</v>
      </c>
      <c r="X23" s="62"/>
      <c r="Y23" s="62">
        <f>'SPR Batch22'!F30</f>
        <v>475.8</v>
      </c>
      <c r="Z23" s="62"/>
      <c r="AA23" s="62"/>
      <c r="AB23" s="62"/>
      <c r="AC23" s="62"/>
      <c r="AD23" s="50"/>
    </row>
    <row r="24" spans="1:30" s="24" customFormat="1" x14ac:dyDescent="0.25">
      <c r="A24" s="48">
        <f t="shared" si="2"/>
        <v>9</v>
      </c>
      <c r="B24" s="49" t="s">
        <v>1</v>
      </c>
      <c r="C24" s="49" t="s">
        <v>101</v>
      </c>
      <c r="D24" s="62"/>
      <c r="E24" s="62"/>
      <c r="F24" s="62"/>
      <c r="G24" s="62">
        <f>'SPR Batch 4 '!E159</f>
        <v>144.9</v>
      </c>
      <c r="H24" s="62"/>
      <c r="I24" s="62">
        <f>'SPR Batch6'!F53</f>
        <v>443.4</v>
      </c>
      <c r="J24" s="62">
        <f>'SPR Batch 7'!F65</f>
        <v>600.6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>
        <f>'SPR Batch21'!F61</f>
        <v>298.89999999999998</v>
      </c>
      <c r="Y24" s="62"/>
      <c r="Z24" s="62"/>
      <c r="AA24" s="62"/>
      <c r="AB24" s="62"/>
      <c r="AC24" s="62"/>
      <c r="AD24" s="50"/>
    </row>
    <row r="25" spans="1:30" s="68" customFormat="1" x14ac:dyDescent="0.25">
      <c r="A25" s="66"/>
      <c r="B25" s="82" t="s">
        <v>27</v>
      </c>
      <c r="C25" s="83"/>
      <c r="D25" s="67">
        <f>SUM(D16:D24)</f>
        <v>1764.8</v>
      </c>
      <c r="E25" s="67">
        <f t="shared" ref="E25" si="3">SUM(E16:E24)</f>
        <v>1059.0999999999999</v>
      </c>
      <c r="F25" s="67">
        <f t="shared" ref="F25" si="4">SUM(F16:F24)</f>
        <v>1255.1999999999998</v>
      </c>
      <c r="G25" s="67">
        <f t="shared" ref="G25" si="5">SUM(G16:G24)</f>
        <v>947.9</v>
      </c>
      <c r="H25" s="67">
        <f t="shared" ref="H25" si="6">SUM(H16:H24)</f>
        <v>652.90000000000009</v>
      </c>
      <c r="I25" s="67">
        <f t="shared" ref="I25" si="7">SUM(I16:I24)</f>
        <v>978.69999999999993</v>
      </c>
      <c r="J25" s="67">
        <f t="shared" ref="J25" si="8">SUM(J16:J24)</f>
        <v>1100.7</v>
      </c>
      <c r="K25" s="67">
        <f t="shared" ref="K25" si="9">SUM(K16:K24)</f>
        <v>730.9</v>
      </c>
      <c r="L25" s="67">
        <f t="shared" ref="L25" si="10">SUM(L16:L24)</f>
        <v>1130.1999999999998</v>
      </c>
      <c r="M25" s="67">
        <f t="shared" ref="M25" si="11">SUM(M16:M24)</f>
        <v>617</v>
      </c>
      <c r="N25" s="67">
        <f t="shared" ref="N25" si="12">SUM(N16:N24)</f>
        <v>753.6</v>
      </c>
      <c r="O25" s="67">
        <f t="shared" ref="O25" si="13">SUM(O16:O24)</f>
        <v>984.9</v>
      </c>
      <c r="P25" s="67">
        <f t="shared" ref="P25" si="14">SUM(P16:P24)</f>
        <v>309.8</v>
      </c>
      <c r="Q25" s="67">
        <f t="shared" ref="Q25" si="15">SUM(Q16:Q24)</f>
        <v>519.9</v>
      </c>
      <c r="R25" s="67">
        <f t="shared" ref="R25" si="16">SUM(R16:R24)</f>
        <v>561.29999999999995</v>
      </c>
      <c r="S25" s="67">
        <f t="shared" ref="S25" si="17">SUM(S16:S24)</f>
        <v>185.7</v>
      </c>
      <c r="T25" s="67">
        <f t="shared" ref="T25" si="18">SUM(T16:T24)</f>
        <v>201.9</v>
      </c>
      <c r="U25" s="67">
        <f t="shared" ref="U25" si="19">SUM(U16:U24)</f>
        <v>515.6</v>
      </c>
      <c r="V25" s="67">
        <f t="shared" ref="V25:AD25" si="20">SUM(V16:V24)</f>
        <v>227.7</v>
      </c>
      <c r="W25" s="67">
        <f t="shared" si="20"/>
        <v>444.2</v>
      </c>
      <c r="X25" s="67">
        <f t="shared" si="20"/>
        <v>298.89999999999998</v>
      </c>
      <c r="Y25" s="67">
        <f t="shared" si="20"/>
        <v>475.8</v>
      </c>
      <c r="Z25" s="67">
        <f t="shared" si="20"/>
        <v>377.6</v>
      </c>
      <c r="AA25" s="67">
        <f t="shared" si="20"/>
        <v>0</v>
      </c>
      <c r="AB25" s="67">
        <f t="shared" si="20"/>
        <v>0</v>
      </c>
      <c r="AC25" s="67">
        <f t="shared" si="20"/>
        <v>0</v>
      </c>
      <c r="AD25" s="67">
        <f t="shared" si="20"/>
        <v>0</v>
      </c>
    </row>
    <row r="26" spans="1:30" s="39" customFormat="1" ht="18.75" x14ac:dyDescent="0.3">
      <c r="A26" s="84" t="s">
        <v>200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5"/>
      <c r="P26" s="85"/>
      <c r="Q26" s="85"/>
      <c r="R26" s="85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</row>
    <row r="27" spans="1:30" s="40" customFormat="1" ht="15.75" x14ac:dyDescent="0.25">
      <c r="A27" s="51" t="s">
        <v>73</v>
      </c>
      <c r="B27" s="52" t="s">
        <v>74</v>
      </c>
      <c r="C27" s="52" t="s">
        <v>75</v>
      </c>
      <c r="D27" s="61" t="s">
        <v>68</v>
      </c>
      <c r="E27" s="61" t="s">
        <v>69</v>
      </c>
      <c r="F27" s="61" t="s">
        <v>70</v>
      </c>
      <c r="G27" s="61" t="s">
        <v>71</v>
      </c>
      <c r="H27" s="61" t="s">
        <v>72</v>
      </c>
      <c r="I27" s="61" t="s">
        <v>99</v>
      </c>
      <c r="J27" s="61" t="s">
        <v>100</v>
      </c>
      <c r="K27" s="61" t="s">
        <v>113</v>
      </c>
      <c r="L27" s="61" t="s">
        <v>114</v>
      </c>
      <c r="M27" s="61" t="s">
        <v>115</v>
      </c>
      <c r="N27" s="61" t="s">
        <v>116</v>
      </c>
      <c r="O27" s="61" t="s">
        <v>117</v>
      </c>
      <c r="P27" s="61" t="s">
        <v>118</v>
      </c>
      <c r="Q27" s="61" t="s">
        <v>119</v>
      </c>
      <c r="R27" s="61" t="s">
        <v>120</v>
      </c>
      <c r="S27" s="61" t="s">
        <v>153</v>
      </c>
      <c r="T27" s="61" t="s">
        <v>154</v>
      </c>
      <c r="U27" s="61" t="s">
        <v>155</v>
      </c>
      <c r="V27" s="61" t="s">
        <v>156</v>
      </c>
      <c r="W27" s="61" t="s">
        <v>157</v>
      </c>
      <c r="X27" s="61" t="s">
        <v>158</v>
      </c>
      <c r="Y27" s="61" t="s">
        <v>159</v>
      </c>
      <c r="Z27" s="61" t="s">
        <v>160</v>
      </c>
      <c r="AA27" s="61" t="s">
        <v>161</v>
      </c>
      <c r="AB27" s="61" t="s">
        <v>162</v>
      </c>
      <c r="AC27" s="61" t="s">
        <v>163</v>
      </c>
      <c r="AD27" s="52" t="s">
        <v>164</v>
      </c>
    </row>
    <row r="28" spans="1:30" x14ac:dyDescent="0.25">
      <c r="A28" s="48">
        <v>1</v>
      </c>
      <c r="B28" s="49" t="s">
        <v>1</v>
      </c>
      <c r="C28" s="49" t="s">
        <v>83</v>
      </c>
      <c r="D28" s="62">
        <f>'SPR Batch 1'!G117</f>
        <v>54.5</v>
      </c>
      <c r="E28" s="62"/>
      <c r="F28" s="62"/>
      <c r="G28" s="62"/>
      <c r="H28" s="62"/>
      <c r="I28" s="62"/>
      <c r="J28" s="62">
        <f>'SPR Batch 7'!G89</f>
        <v>9.1999999999999993</v>
      </c>
      <c r="K28" s="62">
        <f>'SPR Batch8'!G139</f>
        <v>6.9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50"/>
    </row>
    <row r="29" spans="1:30" x14ac:dyDescent="0.25">
      <c r="A29" s="48">
        <f>A28+1</f>
        <v>2</v>
      </c>
      <c r="B29" s="49" t="s">
        <v>1</v>
      </c>
      <c r="C29" s="49" t="s">
        <v>84</v>
      </c>
      <c r="D29" s="62">
        <f>'SPR Batch 1'!G262</f>
        <v>133.30000000000001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>
        <f>'SPR Batch13'!G97</f>
        <v>95.2</v>
      </c>
      <c r="Q29" s="62"/>
      <c r="R29" s="62"/>
      <c r="S29" s="62">
        <f>'SPR Batch16'!G54</f>
        <v>44.3</v>
      </c>
      <c r="T29" s="62"/>
      <c r="U29" s="62"/>
      <c r="V29" s="62">
        <f>'SPR Batch19'!G68</f>
        <v>59</v>
      </c>
      <c r="W29" s="62"/>
      <c r="X29" s="62"/>
      <c r="Y29" s="62"/>
      <c r="Z29" s="62"/>
      <c r="AA29" s="62"/>
      <c r="AB29" s="62"/>
      <c r="AC29" s="62"/>
      <c r="AD29" s="50"/>
    </row>
    <row r="30" spans="1:30" x14ac:dyDescent="0.25">
      <c r="A30" s="48">
        <f t="shared" ref="A30:A36" si="21">A29+1</f>
        <v>3</v>
      </c>
      <c r="B30" s="49" t="s">
        <v>1</v>
      </c>
      <c r="C30" s="49" t="s">
        <v>8</v>
      </c>
      <c r="D30" s="62"/>
      <c r="E30" s="62">
        <f>'SPR Batch 2'!F33</f>
        <v>6.8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50"/>
    </row>
    <row r="31" spans="1:30" x14ac:dyDescent="0.25">
      <c r="A31" s="48">
        <f t="shared" si="21"/>
        <v>4</v>
      </c>
      <c r="B31" s="49" t="s">
        <v>1</v>
      </c>
      <c r="C31" s="49" t="s">
        <v>9</v>
      </c>
      <c r="D31" s="62"/>
      <c r="E31" s="62">
        <f>'SPR Batch 2'!F61</f>
        <v>11.1</v>
      </c>
      <c r="F31" s="62">
        <f>'SPR Batch 3 '!F79</f>
        <v>16.7</v>
      </c>
      <c r="G31" s="62">
        <f>'SPR Batch 4 '!F82</f>
        <v>11.9</v>
      </c>
      <c r="H31" s="62">
        <f>'SPR Batch 5'!G79</f>
        <v>13.5</v>
      </c>
      <c r="I31" s="62">
        <f>'SPR Batch6'!G95</f>
        <v>15.4</v>
      </c>
      <c r="J31" s="62"/>
      <c r="K31" s="62">
        <f>'SPR Batch8'!G72</f>
        <v>7.5</v>
      </c>
      <c r="L31" s="62"/>
      <c r="M31" s="62">
        <f>'SPR Batch10'!G51</f>
        <v>27.9</v>
      </c>
      <c r="N31" s="62"/>
      <c r="O31" s="62">
        <f>'SPR Batch12'!G103</f>
        <v>50.2</v>
      </c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50"/>
    </row>
    <row r="32" spans="1:30" x14ac:dyDescent="0.25">
      <c r="A32" s="48">
        <f t="shared" si="21"/>
        <v>5</v>
      </c>
      <c r="B32" s="49" t="s">
        <v>1</v>
      </c>
      <c r="C32" s="49" t="s">
        <v>10</v>
      </c>
      <c r="D32" s="62"/>
      <c r="E32" s="62">
        <f>'SPR Batch 2'!F112</f>
        <v>3.4</v>
      </c>
      <c r="F32" s="62">
        <f>'SPR Batch 3 '!F42</f>
        <v>6.5</v>
      </c>
      <c r="G32" s="62"/>
      <c r="H32" s="62"/>
      <c r="I32" s="62"/>
      <c r="J32" s="62"/>
      <c r="K32" s="62"/>
      <c r="L32" s="62"/>
      <c r="M32" s="62"/>
      <c r="N32" s="62">
        <f>'SPR Batch11'!G103</f>
        <v>66</v>
      </c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50"/>
    </row>
    <row r="33" spans="1:30" x14ac:dyDescent="0.25">
      <c r="A33" s="48">
        <f t="shared" si="21"/>
        <v>6</v>
      </c>
      <c r="B33" s="49" t="s">
        <v>1</v>
      </c>
      <c r="C33" s="49" t="s">
        <v>11</v>
      </c>
      <c r="D33" s="62"/>
      <c r="E33" s="62">
        <f>'SPR Batch 2'!F92</f>
        <v>7.1</v>
      </c>
      <c r="F33" s="62">
        <f>'SPR Batch 3 '!F123</f>
        <v>20</v>
      </c>
      <c r="G33" s="62">
        <f>'SPR Batch 4 '!F51</f>
        <v>12.5</v>
      </c>
      <c r="H33" s="62">
        <f>'SPR Batch 5'!G43</f>
        <v>10.7</v>
      </c>
      <c r="I33" s="62"/>
      <c r="J33" s="62"/>
      <c r="K33" s="62">
        <f>'SPR Batch8'!G47</f>
        <v>15.4</v>
      </c>
      <c r="L33" s="62">
        <f>'SPR Batch9'!G53</f>
        <v>16.399999999999999</v>
      </c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>
        <f>'SPR Batch23'!G79</f>
        <v>29.8</v>
      </c>
      <c r="AA33" s="62"/>
      <c r="AB33" s="62"/>
      <c r="AC33" s="62"/>
      <c r="AD33" s="50"/>
    </row>
    <row r="34" spans="1:30" x14ac:dyDescent="0.25">
      <c r="A34" s="48">
        <f t="shared" si="21"/>
        <v>7</v>
      </c>
      <c r="B34" s="49" t="s">
        <v>1</v>
      </c>
      <c r="C34" s="49" t="s">
        <v>102</v>
      </c>
      <c r="D34" s="62"/>
      <c r="E34" s="62">
        <f>'SPR Batch 2'!F134</f>
        <v>10.8</v>
      </c>
      <c r="F34" s="62"/>
      <c r="G34" s="62">
        <f>'SPR Batch 4 '!F135</f>
        <v>6.6</v>
      </c>
      <c r="H34" s="62">
        <f>'SPR Batch 5'!G110</f>
        <v>13.5</v>
      </c>
      <c r="I34" s="62"/>
      <c r="J34" s="62"/>
      <c r="K34" s="62">
        <f>'SPR Batch8'!G96</f>
        <v>7.9</v>
      </c>
      <c r="L34" s="62">
        <f>'SPR Batch9'!M104</f>
        <v>19.599999999999998</v>
      </c>
      <c r="M34" s="62"/>
      <c r="N34" s="62"/>
      <c r="O34" s="62"/>
      <c r="P34" s="62"/>
      <c r="Q34" s="62"/>
      <c r="R34" s="62"/>
      <c r="S34" s="62"/>
      <c r="T34" s="62">
        <f>'SPR Batch17'!G105</f>
        <v>60.7</v>
      </c>
      <c r="U34" s="62">
        <f>'SPR Batch18'!G188</f>
        <v>135.1</v>
      </c>
      <c r="V34" s="62"/>
      <c r="W34" s="62"/>
      <c r="X34" s="62"/>
      <c r="Y34" s="62"/>
      <c r="Z34" s="62"/>
      <c r="AA34" s="62"/>
      <c r="AB34" s="62"/>
      <c r="AC34" s="62"/>
      <c r="AD34" s="50"/>
    </row>
    <row r="35" spans="1:30" x14ac:dyDescent="0.25">
      <c r="A35" s="48">
        <f t="shared" si="21"/>
        <v>8</v>
      </c>
      <c r="B35" s="49" t="s">
        <v>1</v>
      </c>
      <c r="C35" s="49" t="s">
        <v>13</v>
      </c>
      <c r="D35" s="62"/>
      <c r="E35" s="62">
        <f>'SPR Batch 2'!F176</f>
        <v>15.8</v>
      </c>
      <c r="F35" s="62">
        <f>'SPR Batch 3 '!F143</f>
        <v>8</v>
      </c>
      <c r="G35" s="62">
        <f>'SPR Batch 4 '!F111</f>
        <v>8.1999999999999993</v>
      </c>
      <c r="H35" s="62"/>
      <c r="I35" s="62">
        <f>'SPR Batch6'!G113</f>
        <v>6.7</v>
      </c>
      <c r="J35" s="62">
        <f>'SPR Batch 7'!G143</f>
        <v>17.8</v>
      </c>
      <c r="K35" s="62">
        <f>'SPR Batch8'!G113</f>
        <v>9.6</v>
      </c>
      <c r="L35" s="62">
        <f>'SPR Batch9'!G75</f>
        <v>19.600000000000001</v>
      </c>
      <c r="M35" s="62">
        <f>'SPR Batch10'!G71</f>
        <v>16.7</v>
      </c>
      <c r="N35" s="62"/>
      <c r="O35" s="62"/>
      <c r="P35" s="62"/>
      <c r="Q35" s="62">
        <f>'SPR Batch14'!G31</f>
        <v>23.9</v>
      </c>
      <c r="R35" s="62">
        <f>'SPR Batch15'!G32</f>
        <v>25.9</v>
      </c>
      <c r="S35" s="62"/>
      <c r="T35" s="62"/>
      <c r="U35" s="62"/>
      <c r="V35" s="62"/>
      <c r="W35" s="62">
        <f>'SPR Batch20'!G30</f>
        <v>17.600000000000001</v>
      </c>
      <c r="X35" s="62"/>
      <c r="Y35" s="62">
        <f>'SPR Batch22'!G30</f>
        <v>30.5</v>
      </c>
      <c r="Z35" s="62"/>
      <c r="AA35" s="62"/>
      <c r="AB35" s="62"/>
      <c r="AC35" s="62"/>
      <c r="AD35" s="50"/>
    </row>
    <row r="36" spans="1:30" x14ac:dyDescent="0.25">
      <c r="A36" s="48">
        <f t="shared" si="21"/>
        <v>9</v>
      </c>
      <c r="B36" s="49" t="s">
        <v>1</v>
      </c>
      <c r="C36" s="49" t="s">
        <v>101</v>
      </c>
      <c r="D36" s="62"/>
      <c r="E36" s="62"/>
      <c r="F36" s="62"/>
      <c r="G36" s="62">
        <f>'SPR Batch 4 '!F159</f>
        <v>5.4</v>
      </c>
      <c r="H36" s="62"/>
      <c r="I36" s="62">
        <f>'SPR Batch6'!G53</f>
        <v>17.899999999999999</v>
      </c>
      <c r="J36" s="62">
        <f>'SPR Batch 7'!G65</f>
        <v>26.7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>
        <f>'SPR Batch21'!G61</f>
        <v>23.2</v>
      </c>
      <c r="Y36" s="62"/>
      <c r="Z36" s="62"/>
      <c r="AA36" s="62"/>
      <c r="AB36" s="62"/>
      <c r="AC36" s="62"/>
      <c r="AD36" s="50"/>
    </row>
    <row r="37" spans="1:30" s="68" customFormat="1" x14ac:dyDescent="0.25">
      <c r="A37" s="66"/>
      <c r="B37" s="82" t="s">
        <v>27</v>
      </c>
      <c r="C37" s="83"/>
      <c r="D37" s="67">
        <f>SUM(D28:D36)</f>
        <v>187.8</v>
      </c>
      <c r="E37" s="67">
        <f t="shared" ref="E37" si="22">SUM(E28:E36)</f>
        <v>55</v>
      </c>
      <c r="F37" s="67">
        <f t="shared" ref="F37" si="23">SUM(F28:F36)</f>
        <v>51.2</v>
      </c>
      <c r="G37" s="67">
        <f t="shared" ref="G37" si="24">SUM(G28:G36)</f>
        <v>44.6</v>
      </c>
      <c r="H37" s="67">
        <f t="shared" ref="H37" si="25">SUM(H28:H36)</f>
        <v>37.700000000000003</v>
      </c>
      <c r="I37" s="67">
        <f t="shared" ref="I37" si="26">SUM(I28:I36)</f>
        <v>40</v>
      </c>
      <c r="J37" s="67">
        <f t="shared" ref="J37" si="27">SUM(J28:J36)</f>
        <v>53.7</v>
      </c>
      <c r="K37" s="67">
        <f t="shared" ref="K37" si="28">SUM(K28:K36)</f>
        <v>47.300000000000004</v>
      </c>
      <c r="L37" s="67">
        <f t="shared" ref="L37" si="29">SUM(L28:L36)</f>
        <v>55.6</v>
      </c>
      <c r="M37" s="67">
        <f t="shared" ref="M37" si="30">SUM(M28:M36)</f>
        <v>44.599999999999994</v>
      </c>
      <c r="N37" s="67">
        <f t="shared" ref="N37" si="31">SUM(N28:N36)</f>
        <v>66</v>
      </c>
      <c r="O37" s="67">
        <f t="shared" ref="O37" si="32">SUM(O28:O36)</f>
        <v>50.2</v>
      </c>
      <c r="P37" s="67">
        <f t="shared" ref="P37" si="33">SUM(P28:P36)</f>
        <v>95.2</v>
      </c>
      <c r="Q37" s="67">
        <f t="shared" ref="Q37" si="34">SUM(Q28:Q36)</f>
        <v>23.9</v>
      </c>
      <c r="R37" s="67">
        <f t="shared" ref="R37" si="35">SUM(R28:R36)</f>
        <v>25.9</v>
      </c>
      <c r="S37" s="67">
        <f t="shared" ref="S37" si="36">SUM(S28:S36)</f>
        <v>44.3</v>
      </c>
      <c r="T37" s="67">
        <f t="shared" ref="T37" si="37">SUM(T28:T36)</f>
        <v>60.7</v>
      </c>
      <c r="U37" s="67">
        <f t="shared" ref="U37" si="38">SUM(U28:U36)</f>
        <v>135.1</v>
      </c>
      <c r="V37" s="67">
        <f t="shared" ref="V37:AD37" si="39">SUM(V28:V36)</f>
        <v>59</v>
      </c>
      <c r="W37" s="67">
        <f t="shared" si="39"/>
        <v>17.600000000000001</v>
      </c>
      <c r="X37" s="67">
        <f t="shared" si="39"/>
        <v>23.2</v>
      </c>
      <c r="Y37" s="67">
        <f t="shared" si="39"/>
        <v>30.5</v>
      </c>
      <c r="Z37" s="67">
        <f t="shared" si="39"/>
        <v>29.8</v>
      </c>
      <c r="AA37" s="67">
        <f t="shared" si="39"/>
        <v>0</v>
      </c>
      <c r="AB37" s="67">
        <f t="shared" si="39"/>
        <v>0</v>
      </c>
      <c r="AC37" s="67">
        <f t="shared" si="39"/>
        <v>0</v>
      </c>
      <c r="AD37" s="67">
        <f t="shared" si="39"/>
        <v>0</v>
      </c>
    </row>
    <row r="38" spans="1:30" s="39" customFormat="1" ht="18.75" x14ac:dyDescent="0.3">
      <c r="A38" s="84" t="s">
        <v>201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</row>
    <row r="39" spans="1:30" s="40" customFormat="1" ht="15.75" x14ac:dyDescent="0.25">
      <c r="A39" s="51" t="s">
        <v>73</v>
      </c>
      <c r="B39" s="52" t="s">
        <v>74</v>
      </c>
      <c r="C39" s="52" t="s">
        <v>75</v>
      </c>
      <c r="D39" s="61" t="s">
        <v>68</v>
      </c>
      <c r="E39" s="61" t="s">
        <v>69</v>
      </c>
      <c r="F39" s="61" t="s">
        <v>70</v>
      </c>
      <c r="G39" s="61" t="s">
        <v>71</v>
      </c>
      <c r="H39" s="61" t="s">
        <v>72</v>
      </c>
      <c r="I39" s="61" t="s">
        <v>99</v>
      </c>
      <c r="J39" s="61" t="s">
        <v>100</v>
      </c>
      <c r="K39" s="61" t="s">
        <v>113</v>
      </c>
      <c r="L39" s="61" t="s">
        <v>114</v>
      </c>
      <c r="M39" s="61" t="s">
        <v>115</v>
      </c>
      <c r="N39" s="61" t="s">
        <v>116</v>
      </c>
      <c r="O39" s="61" t="s">
        <v>117</v>
      </c>
      <c r="P39" s="61" t="s">
        <v>118</v>
      </c>
      <c r="Q39" s="61" t="s">
        <v>119</v>
      </c>
      <c r="R39" s="61" t="s">
        <v>120</v>
      </c>
      <c r="S39" s="61" t="s">
        <v>153</v>
      </c>
      <c r="T39" s="61" t="s">
        <v>154</v>
      </c>
      <c r="U39" s="61" t="s">
        <v>155</v>
      </c>
      <c r="V39" s="61" t="s">
        <v>156</v>
      </c>
      <c r="W39" s="61" t="s">
        <v>157</v>
      </c>
      <c r="X39" s="61" t="s">
        <v>158</v>
      </c>
      <c r="Y39" s="61" t="s">
        <v>159</v>
      </c>
      <c r="Z39" s="61" t="s">
        <v>160</v>
      </c>
      <c r="AA39" s="61" t="s">
        <v>161</v>
      </c>
      <c r="AB39" s="61" t="s">
        <v>162</v>
      </c>
      <c r="AC39" s="61" t="s">
        <v>163</v>
      </c>
      <c r="AD39" s="52" t="s">
        <v>164</v>
      </c>
    </row>
    <row r="40" spans="1:30" x14ac:dyDescent="0.25">
      <c r="A40" s="48">
        <v>1</v>
      </c>
      <c r="B40" s="49" t="s">
        <v>1</v>
      </c>
      <c r="C40" s="49" t="s">
        <v>83</v>
      </c>
      <c r="D40" s="62">
        <f>'SPR Batch 1'!H117</f>
        <v>46</v>
      </c>
      <c r="E40" s="62"/>
      <c r="F40" s="62"/>
      <c r="G40" s="62"/>
      <c r="H40" s="62"/>
      <c r="I40" s="62"/>
      <c r="J40" s="62">
        <f>'SPR Batch 7'!H89</f>
        <v>2.899999999999995</v>
      </c>
      <c r="K40" s="62">
        <f>'SPR Batch8'!H139</f>
        <v>2.5999999999999144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50"/>
    </row>
    <row r="41" spans="1:30" x14ac:dyDescent="0.25">
      <c r="A41" s="48">
        <f>A40+1</f>
        <v>2</v>
      </c>
      <c r="B41" s="49" t="s">
        <v>1</v>
      </c>
      <c r="C41" s="49" t="s">
        <v>84</v>
      </c>
      <c r="D41" s="62">
        <f>'SPR Batch 1'!H262</f>
        <v>81.400000000001455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>
        <f>'SPR Batch13'!H97</f>
        <v>16.599999999999895</v>
      </c>
      <c r="Q41" s="62"/>
      <c r="R41" s="62"/>
      <c r="S41" s="62">
        <f>'SPR Batch16'!H54</f>
        <v>4.1000000000001506</v>
      </c>
      <c r="T41" s="62"/>
      <c r="U41" s="62"/>
      <c r="V41" s="62">
        <f>'SPR Batch19'!H68</f>
        <v>7.3999999999999204</v>
      </c>
      <c r="W41" s="62"/>
      <c r="X41" s="62"/>
      <c r="Y41" s="62"/>
      <c r="Z41" s="62"/>
      <c r="AA41" s="62"/>
      <c r="AB41" s="62"/>
      <c r="AC41" s="62"/>
      <c r="AD41" s="50"/>
    </row>
    <row r="42" spans="1:30" x14ac:dyDescent="0.25">
      <c r="A42" s="48">
        <f t="shared" ref="A42:A48" si="40">A41+1</f>
        <v>3</v>
      </c>
      <c r="B42" s="49" t="s">
        <v>1</v>
      </c>
      <c r="C42" s="49" t="s">
        <v>8</v>
      </c>
      <c r="D42" s="62"/>
      <c r="E42" s="62">
        <f>'SPR Batch 2'!G33</f>
        <v>18.300000000000011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50"/>
    </row>
    <row r="43" spans="1:30" x14ac:dyDescent="0.25">
      <c r="A43" s="48">
        <f t="shared" si="40"/>
        <v>4</v>
      </c>
      <c r="B43" s="49" t="s">
        <v>1</v>
      </c>
      <c r="C43" s="49" t="s">
        <v>9</v>
      </c>
      <c r="D43" s="62"/>
      <c r="E43" s="62">
        <f>'SPR Batch 2'!G61</f>
        <v>7.0000000000001137</v>
      </c>
      <c r="F43" s="62">
        <f>'SPR Batch 3 '!G79</f>
        <v>12.200000000000273</v>
      </c>
      <c r="G43" s="62">
        <f>'SPR Batch 4 '!G82</f>
        <v>7.3999999999998636</v>
      </c>
      <c r="H43" s="62">
        <f>'SPR Batch 5'!H79</f>
        <v>11.200000000000045</v>
      </c>
      <c r="I43" s="62">
        <f>'SPR Batch6'!H95</f>
        <v>19.199999999999683</v>
      </c>
      <c r="J43" s="62"/>
      <c r="K43" s="62">
        <f>'SPR Batch8'!H72</f>
        <v>0.70000000000001705</v>
      </c>
      <c r="L43" s="62"/>
      <c r="M43" s="62">
        <f>'SPR Batch10'!H51</f>
        <v>13.300000000000047</v>
      </c>
      <c r="N43" s="62"/>
      <c r="O43" s="62">
        <f>'SPR Batch12'!H103</f>
        <v>8.7999999999996561</v>
      </c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50"/>
    </row>
    <row r="44" spans="1:30" x14ac:dyDescent="0.25">
      <c r="A44" s="48">
        <f t="shared" si="40"/>
        <v>5</v>
      </c>
      <c r="B44" s="49" t="s">
        <v>1</v>
      </c>
      <c r="C44" s="49" t="s">
        <v>10</v>
      </c>
      <c r="D44" s="62"/>
      <c r="E44" s="62">
        <f>'SPR Batch 2'!G112</f>
        <v>7.5</v>
      </c>
      <c r="F44" s="62">
        <f>'SPR Batch 3 '!G42</f>
        <v>13.899999999999977</v>
      </c>
      <c r="G44" s="62"/>
      <c r="H44" s="62"/>
      <c r="I44" s="62"/>
      <c r="J44" s="62"/>
      <c r="K44" s="62"/>
      <c r="L44" s="62"/>
      <c r="M44" s="62"/>
      <c r="N44" s="62">
        <f>'SPR Batch11'!H103</f>
        <v>34.699999999999704</v>
      </c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50"/>
    </row>
    <row r="45" spans="1:30" x14ac:dyDescent="0.25">
      <c r="A45" s="48">
        <f t="shared" si="40"/>
        <v>6</v>
      </c>
      <c r="B45" s="49" t="s">
        <v>1</v>
      </c>
      <c r="C45" s="49" t="s">
        <v>11</v>
      </c>
      <c r="D45" s="62"/>
      <c r="E45" s="62">
        <f>'SPR Batch 2'!G92</f>
        <v>11.399999999999864</v>
      </c>
      <c r="F45" s="62">
        <f>'SPR Batch 3 '!G123</f>
        <v>14.900000000000546</v>
      </c>
      <c r="G45" s="62">
        <f>'SPR Batch 4 '!G51</f>
        <v>8.7999999999997272</v>
      </c>
      <c r="H45" s="62">
        <f>'SPR Batch 5'!H43</f>
        <v>11.000000000000103</v>
      </c>
      <c r="I45" s="62"/>
      <c r="J45" s="62"/>
      <c r="K45" s="62">
        <f>'SPR Batch8'!H47</f>
        <v>13.299999999999931</v>
      </c>
      <c r="L45" s="62">
        <f>'SPR Batch9'!H53</f>
        <v>-122.10000000000016</v>
      </c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>
        <f>'SPR Batch23'!H79</f>
        <v>8.5999999999997492</v>
      </c>
      <c r="AA45" s="62"/>
      <c r="AB45" s="62"/>
      <c r="AC45" s="62"/>
      <c r="AD45" s="50"/>
    </row>
    <row r="46" spans="1:30" x14ac:dyDescent="0.25">
      <c r="A46" s="48">
        <f t="shared" si="40"/>
        <v>7</v>
      </c>
      <c r="B46" s="49" t="s">
        <v>1</v>
      </c>
      <c r="C46" s="49" t="s">
        <v>102</v>
      </c>
      <c r="D46" s="62"/>
      <c r="E46" s="62">
        <f>'SPR Batch 2'!G134</f>
        <v>13.900000000000091</v>
      </c>
      <c r="F46" s="62"/>
      <c r="G46" s="62">
        <f>'SPR Batch 4 '!G135</f>
        <v>9.5999999999999659</v>
      </c>
      <c r="H46" s="62">
        <f>'SPR Batch 5'!H110</f>
        <v>12.000000000000156</v>
      </c>
      <c r="I46" s="62"/>
      <c r="J46" s="62"/>
      <c r="K46" s="62">
        <f>'SPR Batch8'!H96</f>
        <v>0.4999999999999627</v>
      </c>
      <c r="L46" s="62">
        <f>'SPR Batch9'!N104</f>
        <v>2.800000000000046</v>
      </c>
      <c r="M46" s="62"/>
      <c r="N46" s="62"/>
      <c r="O46" s="62"/>
      <c r="P46" s="62"/>
      <c r="Q46" s="62"/>
      <c r="R46" s="62"/>
      <c r="S46" s="62"/>
      <c r="T46" s="62">
        <f>'SPR Batch17'!H105</f>
        <v>3.5999999999998096</v>
      </c>
      <c r="U46" s="62">
        <f>'SPR Batch18'!H188</f>
        <v>80.100000000001074</v>
      </c>
      <c r="V46" s="62"/>
      <c r="W46" s="62"/>
      <c r="X46" s="62"/>
      <c r="Y46" s="62"/>
      <c r="Z46" s="62"/>
      <c r="AA46" s="62"/>
      <c r="AB46" s="62"/>
      <c r="AC46" s="62"/>
      <c r="AD46" s="50"/>
    </row>
    <row r="47" spans="1:30" x14ac:dyDescent="0.25">
      <c r="A47" s="48">
        <f t="shared" si="40"/>
        <v>8</v>
      </c>
      <c r="B47" s="49" t="s">
        <v>1</v>
      </c>
      <c r="C47" s="49" t="s">
        <v>13</v>
      </c>
      <c r="D47" s="62"/>
      <c r="E47" s="62">
        <f>'SPR Batch 2'!G176</f>
        <v>1.8999999999999773</v>
      </c>
      <c r="F47" s="62">
        <f>'SPR Batch 3 '!G143</f>
        <v>7.2999999999999545</v>
      </c>
      <c r="G47" s="62">
        <f>'SPR Batch 4 '!G111</f>
        <v>1.2000000000001023</v>
      </c>
      <c r="H47" s="62"/>
      <c r="I47" s="62">
        <f>'SPR Batch6'!H113</f>
        <v>3.7000000000000055</v>
      </c>
      <c r="J47" s="62">
        <f>'SPR Batch 7'!H143</f>
        <v>6.2999999999999652</v>
      </c>
      <c r="K47" s="62">
        <f>'SPR Batch8'!H113</f>
        <v>5.6000000000000174</v>
      </c>
      <c r="L47" s="62">
        <f>'SPR Batch9'!H75</f>
        <v>13.700000000000067</v>
      </c>
      <c r="M47" s="62">
        <f>'SPR Batch10'!H71</f>
        <v>12.199999999999864</v>
      </c>
      <c r="N47" s="62"/>
      <c r="O47" s="62"/>
      <c r="P47" s="62"/>
      <c r="Q47" s="62">
        <f>'SPR Batch14'!H31</f>
        <v>15.700000000000138</v>
      </c>
      <c r="R47" s="62">
        <f>'SPR Batch15'!H32</f>
        <v>22.000000000000092</v>
      </c>
      <c r="S47" s="62"/>
      <c r="T47" s="62"/>
      <c r="U47" s="62"/>
      <c r="V47" s="62"/>
      <c r="W47" s="62">
        <f>'SPR Batch20'!H30</f>
        <v>20.400000000000055</v>
      </c>
      <c r="X47" s="62"/>
      <c r="Y47" s="62">
        <f>'SPR Batch22'!H30</f>
        <v>15.700000000000216</v>
      </c>
      <c r="Z47" s="62"/>
      <c r="AA47" s="62"/>
      <c r="AB47" s="62"/>
      <c r="AC47" s="62"/>
      <c r="AD47" s="50"/>
    </row>
    <row r="48" spans="1:30" x14ac:dyDescent="0.25">
      <c r="A48" s="48">
        <f t="shared" si="40"/>
        <v>9</v>
      </c>
      <c r="B48" s="49" t="s">
        <v>1</v>
      </c>
      <c r="C48" s="49" t="s">
        <v>101</v>
      </c>
      <c r="D48" s="62"/>
      <c r="E48" s="62"/>
      <c r="F48" s="62"/>
      <c r="G48" s="62">
        <f>'SPR Batch 4 '!G159</f>
        <v>5.1999999999999886</v>
      </c>
      <c r="H48" s="62"/>
      <c r="I48" s="62">
        <f>'SPR Batch6'!H53</f>
        <v>13.299999999999933</v>
      </c>
      <c r="J48" s="62">
        <f>'SPR Batch 7'!H65</f>
        <v>3.6999999999995232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>
        <f>'SPR Batch21'!H61</f>
        <v>6.299999999999887</v>
      </c>
      <c r="Y48" s="62"/>
      <c r="Z48" s="62"/>
      <c r="AA48" s="62"/>
      <c r="AB48" s="62"/>
      <c r="AC48" s="62"/>
      <c r="AD48" s="50"/>
    </row>
    <row r="49" spans="1:30" s="68" customFormat="1" x14ac:dyDescent="0.25">
      <c r="A49" s="66"/>
      <c r="B49" s="82" t="s">
        <v>27</v>
      </c>
      <c r="C49" s="83"/>
      <c r="D49" s="67">
        <f>SUM(D40:D48)</f>
        <v>127.40000000000146</v>
      </c>
      <c r="E49" s="67">
        <f t="shared" ref="E49" si="41">SUM(E40:E48)</f>
        <v>60.000000000000057</v>
      </c>
      <c r="F49" s="67">
        <f t="shared" ref="F49" si="42">SUM(F40:F48)</f>
        <v>48.30000000000075</v>
      </c>
      <c r="G49" s="67">
        <f t="shared" ref="G49" si="43">SUM(G40:G48)</f>
        <v>32.199999999999648</v>
      </c>
      <c r="H49" s="67">
        <f t="shared" ref="H49" si="44">SUM(H40:H48)</f>
        <v>34.200000000000301</v>
      </c>
      <c r="I49" s="67">
        <f t="shared" ref="I49" si="45">SUM(I40:I48)</f>
        <v>36.199999999999619</v>
      </c>
      <c r="J49" s="67">
        <f t="shared" ref="J49" si="46">SUM(J40:J48)</f>
        <v>12.899999999999483</v>
      </c>
      <c r="K49" s="67">
        <f t="shared" ref="K49" si="47">SUM(K40:K48)</f>
        <v>22.699999999999839</v>
      </c>
      <c r="L49" s="67">
        <f t="shared" ref="L49" si="48">SUM(L40:L48)</f>
        <v>-105.60000000000005</v>
      </c>
      <c r="M49" s="67">
        <f t="shared" ref="M49" si="49">SUM(M40:M48)</f>
        <v>25.499999999999911</v>
      </c>
      <c r="N49" s="67">
        <f t="shared" ref="N49" si="50">SUM(N40:N48)</f>
        <v>34.699999999999704</v>
      </c>
      <c r="O49" s="67">
        <f t="shared" ref="O49" si="51">SUM(O40:O48)</f>
        <v>8.7999999999996561</v>
      </c>
      <c r="P49" s="67">
        <f t="shared" ref="P49" si="52">SUM(P40:P48)</f>
        <v>16.599999999999895</v>
      </c>
      <c r="Q49" s="67">
        <f t="shared" ref="Q49" si="53">SUM(Q40:Q48)</f>
        <v>15.700000000000138</v>
      </c>
      <c r="R49" s="67">
        <f t="shared" ref="R49" si="54">SUM(R40:R48)</f>
        <v>22.000000000000092</v>
      </c>
      <c r="S49" s="67">
        <f t="shared" ref="S49" si="55">SUM(S40:S48)</f>
        <v>4.1000000000001506</v>
      </c>
      <c r="T49" s="67">
        <f t="shared" ref="T49" si="56">SUM(T40:T48)</f>
        <v>3.5999999999998096</v>
      </c>
      <c r="U49" s="67">
        <f t="shared" ref="U49" si="57">SUM(U40:U48)</f>
        <v>80.100000000001074</v>
      </c>
      <c r="V49" s="67">
        <f t="shared" ref="V49:AD49" si="58">SUM(V40:V48)</f>
        <v>7.3999999999999204</v>
      </c>
      <c r="W49" s="67">
        <f t="shared" si="58"/>
        <v>20.400000000000055</v>
      </c>
      <c r="X49" s="67">
        <f t="shared" si="58"/>
        <v>6.299999999999887</v>
      </c>
      <c r="Y49" s="67">
        <f t="shared" si="58"/>
        <v>15.700000000000216</v>
      </c>
      <c r="Z49" s="67">
        <f t="shared" si="58"/>
        <v>8.5999999999997492</v>
      </c>
      <c r="AA49" s="67">
        <f t="shared" si="58"/>
        <v>0</v>
      </c>
      <c r="AB49" s="67">
        <f t="shared" si="58"/>
        <v>0</v>
      </c>
      <c r="AC49" s="67">
        <f t="shared" si="58"/>
        <v>0</v>
      </c>
      <c r="AD49" s="67">
        <f t="shared" si="58"/>
        <v>0</v>
      </c>
    </row>
  </sheetData>
  <mergeCells count="8">
    <mergeCell ref="B49:C49"/>
    <mergeCell ref="A1:R1"/>
    <mergeCell ref="A14:R14"/>
    <mergeCell ref="A26:R26"/>
    <mergeCell ref="A38:R38"/>
    <mergeCell ref="B12:C12"/>
    <mergeCell ref="B25:C25"/>
    <mergeCell ref="B37:C37"/>
  </mergeCells>
  <conditionalFormatting sqref="AD2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7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9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" right="0" top="0" bottom="0" header="0" footer="0"/>
  <pageSetup paperSize="20000" scale="63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BEEF-9484-4644-8A12-EF740B48B757}">
  <sheetPr>
    <tabColor rgb="FFFFFF00"/>
    <pageSetUpPr fitToPage="1"/>
  </sheetPr>
  <dimension ref="A1:AD63"/>
  <sheetViews>
    <sheetView showGridLines="0" tabSelected="1" zoomScaleNormal="100" workbookViewId="0">
      <pane xSplit="3" ySplit="2" topLeftCell="N3" activePane="bottomRight" state="frozen"/>
      <selection pane="topRight" activeCell="D1" sqref="D1"/>
      <selection pane="bottomLeft" activeCell="A3" sqref="A3"/>
      <selection pane="bottomRight" activeCell="Z8" sqref="Z8"/>
    </sheetView>
  </sheetViews>
  <sheetFormatPr defaultRowHeight="15" x14ac:dyDescent="0.25"/>
  <cols>
    <col min="1" max="1" width="7.140625" style="26" bestFit="1" customWidth="1"/>
    <col min="2" max="2" width="10.85546875" bestFit="1" customWidth="1"/>
    <col min="3" max="3" width="12.28515625" bestFit="1" customWidth="1"/>
    <col min="4" max="4" width="9.140625" customWidth="1"/>
    <col min="5" max="10" width="9.140625" style="4" customWidth="1"/>
    <col min="11" max="12" width="9.140625" customWidth="1"/>
    <col min="13" max="18" width="10.28515625" customWidth="1"/>
    <col min="19" max="19" width="10.28515625" style="4" customWidth="1"/>
    <col min="20" max="20" width="10.28515625" style="4" bestFit="1" customWidth="1"/>
    <col min="21" max="22" width="10.28515625" style="4" customWidth="1"/>
    <col min="23" max="27" width="10.28515625" customWidth="1"/>
    <col min="28" max="30" width="10.28515625" hidden="1" customWidth="1"/>
    <col min="31" max="32" width="9.140625" customWidth="1"/>
  </cols>
  <sheetData>
    <row r="1" spans="1:30" s="39" customFormat="1" ht="18.75" x14ac:dyDescent="0.3">
      <c r="A1" s="84" t="s">
        <v>132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spans="1:30" s="40" customFormat="1" ht="15.75" x14ac:dyDescent="0.25">
      <c r="A2" s="51" t="s">
        <v>73</v>
      </c>
      <c r="B2" s="52" t="s">
        <v>74</v>
      </c>
      <c r="C2" s="52" t="s">
        <v>75</v>
      </c>
      <c r="D2" s="52" t="s">
        <v>68</v>
      </c>
      <c r="E2" s="52" t="s">
        <v>69</v>
      </c>
      <c r="F2" s="52" t="s">
        <v>70</v>
      </c>
      <c r="G2" s="52" t="s">
        <v>71</v>
      </c>
      <c r="H2" s="52" t="s">
        <v>72</v>
      </c>
      <c r="I2" s="52" t="s">
        <v>99</v>
      </c>
      <c r="J2" s="52" t="s">
        <v>100</v>
      </c>
      <c r="K2" s="52" t="s">
        <v>113</v>
      </c>
      <c r="L2" s="52" t="s">
        <v>114</v>
      </c>
      <c r="M2" s="52" t="s">
        <v>115</v>
      </c>
      <c r="N2" s="52" t="s">
        <v>116</v>
      </c>
      <c r="O2" s="52" t="s">
        <v>117</v>
      </c>
      <c r="P2" s="52" t="s">
        <v>118</v>
      </c>
      <c r="Q2" s="52" t="s">
        <v>119</v>
      </c>
      <c r="R2" s="52" t="s">
        <v>120</v>
      </c>
      <c r="S2" s="52" t="s">
        <v>153</v>
      </c>
      <c r="T2" s="52" t="s">
        <v>154</v>
      </c>
      <c r="U2" s="52" t="s">
        <v>155</v>
      </c>
      <c r="V2" s="52" t="s">
        <v>156</v>
      </c>
      <c r="W2" s="52" t="s">
        <v>157</v>
      </c>
      <c r="X2" s="52" t="s">
        <v>158</v>
      </c>
      <c r="Y2" s="52" t="s">
        <v>159</v>
      </c>
      <c r="Z2" s="52" t="s">
        <v>160</v>
      </c>
      <c r="AA2" s="52" t="s">
        <v>161</v>
      </c>
      <c r="AB2" s="52" t="s">
        <v>162</v>
      </c>
      <c r="AC2" s="52" t="s">
        <v>163</v>
      </c>
      <c r="AD2" s="52" t="s">
        <v>164</v>
      </c>
    </row>
    <row r="3" spans="1:30" x14ac:dyDescent="0.25">
      <c r="A3" s="48">
        <v>1</v>
      </c>
      <c r="B3" s="49" t="s">
        <v>1</v>
      </c>
      <c r="C3" s="49" t="s">
        <v>83</v>
      </c>
      <c r="D3" s="50">
        <f>'SPR Batch 1'!E118</f>
        <v>0.74757377944352055</v>
      </c>
      <c r="E3" s="50"/>
      <c r="F3" s="50"/>
      <c r="G3" s="50"/>
      <c r="H3" s="50"/>
      <c r="I3" s="50"/>
      <c r="J3" s="50">
        <f>'SPR Batch 7'!E90</f>
        <v>0.60772014475271408</v>
      </c>
      <c r="K3" s="50">
        <f>'SPR Batch8'!E140</f>
        <v>0.81324148488327608</v>
      </c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</row>
    <row r="4" spans="1:30" x14ac:dyDescent="0.25">
      <c r="A4" s="48">
        <f>A3+1</f>
        <v>2</v>
      </c>
      <c r="B4" s="49" t="s">
        <v>1</v>
      </c>
      <c r="C4" s="49" t="s">
        <v>84</v>
      </c>
      <c r="D4" s="50">
        <f>'SPR Batch 1'!E263</f>
        <v>0.82022661931337704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>
        <f>'SPR Batch13'!E98</f>
        <v>0.88105515587529981</v>
      </c>
      <c r="Q4" s="50"/>
      <c r="R4" s="50"/>
      <c r="S4" s="50">
        <f>'SPR Batch16'!E55</f>
        <v>0.84280150416330912</v>
      </c>
      <c r="T4" s="50"/>
      <c r="U4" s="50"/>
      <c r="V4" s="50">
        <f>'SPR Batch19'!E69</f>
        <v>0.84844112342179856</v>
      </c>
      <c r="W4" s="50"/>
      <c r="X4" s="50"/>
      <c r="Y4" s="50"/>
      <c r="Z4" s="50"/>
      <c r="AA4" s="50"/>
      <c r="AB4" s="50"/>
      <c r="AC4" s="50"/>
      <c r="AD4" s="50"/>
    </row>
    <row r="5" spans="1:30" s="24" customFormat="1" x14ac:dyDescent="0.25">
      <c r="A5" s="48">
        <f t="shared" ref="A5:A10" si="0">A4+1</f>
        <v>3</v>
      </c>
      <c r="B5" s="49" t="s">
        <v>1</v>
      </c>
      <c r="C5" s="49" t="s">
        <v>8</v>
      </c>
      <c r="D5" s="50"/>
      <c r="E5" s="50">
        <f>'SPR Batch 2'!D34</f>
        <v>0.70325604341391224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</row>
    <row r="6" spans="1:30" s="24" customFormat="1" x14ac:dyDescent="0.25">
      <c r="A6" s="48">
        <f t="shared" si="0"/>
        <v>4</v>
      </c>
      <c r="B6" s="49" t="s">
        <v>1</v>
      </c>
      <c r="C6" s="49" t="s">
        <v>9</v>
      </c>
      <c r="D6" s="50"/>
      <c r="E6" s="50">
        <f>'SPR Batch 2'!D62</f>
        <v>0.63574996624814362</v>
      </c>
      <c r="F6" s="50">
        <v>0.66620570440795146</v>
      </c>
      <c r="G6" s="50">
        <f>'SPR Batch 4 '!D83</f>
        <v>0.66111250313204717</v>
      </c>
      <c r="H6" s="50">
        <f>'SPR Batch 5'!E80</f>
        <v>0.77002925356232887</v>
      </c>
      <c r="I6" s="50">
        <v>0.67278471490898162</v>
      </c>
      <c r="J6" s="50"/>
      <c r="K6" s="50">
        <f>'SPR Batch8'!E73</f>
        <v>0.84253308128544424</v>
      </c>
      <c r="L6" s="50"/>
      <c r="M6" s="50">
        <f>'SPR Batch10'!E52</f>
        <v>0.81503366772021435</v>
      </c>
      <c r="N6" s="50"/>
      <c r="O6" s="50">
        <f>'SPR Batch12'!E104</f>
        <v>0.71209112471730385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>
        <f>'SPR Batch25'!E70</f>
        <v>0.79695431472081213</v>
      </c>
      <c r="AC6" s="50"/>
      <c r="AD6" s="50"/>
    </row>
    <row r="7" spans="1:30" s="24" customFormat="1" x14ac:dyDescent="0.25">
      <c r="A7" s="48">
        <f t="shared" si="0"/>
        <v>5</v>
      </c>
      <c r="B7" s="49" t="s">
        <v>1</v>
      </c>
      <c r="C7" s="49" t="s">
        <v>10</v>
      </c>
      <c r="D7" s="50"/>
      <c r="E7" s="50">
        <f>'SPR Batch 2'!D113</f>
        <v>0.67703435804701628</v>
      </c>
      <c r="F7" s="50">
        <v>0.75967633175994609</v>
      </c>
      <c r="G7" s="50"/>
      <c r="H7" s="50"/>
      <c r="I7" s="50"/>
      <c r="J7" s="50"/>
      <c r="K7" s="50"/>
      <c r="L7" s="50"/>
      <c r="M7" s="50"/>
      <c r="N7" s="50">
        <f>'SPR Batch11'!E104</f>
        <v>0.7499048566995522</v>
      </c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</row>
    <row r="8" spans="1:30" s="24" customFormat="1" x14ac:dyDescent="0.25">
      <c r="A8" s="48">
        <f t="shared" si="0"/>
        <v>6</v>
      </c>
      <c r="B8" s="49" t="s">
        <v>1</v>
      </c>
      <c r="C8" s="49" t="s">
        <v>11</v>
      </c>
      <c r="D8" s="50"/>
      <c r="E8" s="50">
        <f>'SPR Batch 2'!D93</f>
        <v>0.68337694532433557</v>
      </c>
      <c r="F8" s="50">
        <v>0.64982769997800394</v>
      </c>
      <c r="G8" s="50">
        <f>'SPR Batch 4 '!D52</f>
        <v>0.68210197710718012</v>
      </c>
      <c r="H8" s="50">
        <f>'SPR Batch 5'!E44</f>
        <v>0.6696887277122997</v>
      </c>
      <c r="I8" s="50"/>
      <c r="J8" s="50"/>
      <c r="K8" s="50">
        <f>'SPR Batch8'!E48</f>
        <v>0.72177803160098997</v>
      </c>
      <c r="L8" s="50">
        <f>'SPR Batch9'!E54</f>
        <v>0.73546596552731536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>
        <f>'SPR Batch23'!E80</f>
        <v>0.81169654173456462</v>
      </c>
      <c r="AA8" s="50"/>
      <c r="AB8" s="50">
        <f>'SPR Batch25'!E113</f>
        <v>0.7349896480331265</v>
      </c>
      <c r="AC8" s="50"/>
      <c r="AD8" s="50"/>
    </row>
    <row r="9" spans="1:30" s="24" customFormat="1" x14ac:dyDescent="0.25">
      <c r="A9" s="48">
        <f t="shared" si="0"/>
        <v>7</v>
      </c>
      <c r="B9" s="49" t="s">
        <v>1</v>
      </c>
      <c r="C9" s="49" t="s">
        <v>102</v>
      </c>
      <c r="D9" s="50"/>
      <c r="E9" s="50">
        <f>'SPR Batch 2'!D135</f>
        <v>0.77155367658160945</v>
      </c>
      <c r="F9" s="50"/>
      <c r="G9" s="50">
        <f>'SPR Batch 4 '!D136</f>
        <v>0.83081266384351693</v>
      </c>
      <c r="H9" s="50">
        <v>0.81425800193986408</v>
      </c>
      <c r="I9" s="50"/>
      <c r="J9" s="50"/>
      <c r="K9" s="50">
        <f>'SPR Batch8'!E97</f>
        <v>0.76271837204837789</v>
      </c>
      <c r="L9" s="50">
        <f>'SPR Batch9'!K123</f>
        <v>0.75869062475036442</v>
      </c>
      <c r="M9" s="50"/>
      <c r="N9" s="50"/>
      <c r="O9" s="50"/>
      <c r="P9" s="50"/>
      <c r="Q9" s="50"/>
      <c r="R9" s="50"/>
      <c r="S9" s="50"/>
      <c r="T9" s="50">
        <f>'SPR Batch17'!E106</f>
        <v>0.91689041523571657</v>
      </c>
      <c r="U9" s="50">
        <f>'SPR Batch18'!E189</f>
        <v>0.89372191440164028</v>
      </c>
      <c r="V9" s="50"/>
      <c r="W9" s="50"/>
      <c r="X9" s="50"/>
      <c r="Y9" s="50"/>
      <c r="Z9" s="50"/>
      <c r="AA9" s="50"/>
      <c r="AB9" s="50"/>
      <c r="AC9" s="50"/>
      <c r="AD9" s="50"/>
    </row>
    <row r="10" spans="1:30" s="24" customFormat="1" x14ac:dyDescent="0.25">
      <c r="A10" s="48">
        <f t="shared" si="0"/>
        <v>8</v>
      </c>
      <c r="B10" s="49" t="s">
        <v>1</v>
      </c>
      <c r="C10" s="49" t="s">
        <v>13</v>
      </c>
      <c r="D10" s="50"/>
      <c r="E10" s="50">
        <v>0.54956896551724144</v>
      </c>
      <c r="F10" s="50">
        <v>0.54109783845278736</v>
      </c>
      <c r="G10" s="50">
        <f>'SPR Batch 4 '!D112</f>
        <v>0.60032362459546917</v>
      </c>
      <c r="H10" s="50"/>
      <c r="I10" s="50">
        <v>0.52407468064199147</v>
      </c>
      <c r="J10" s="50">
        <f>'SPR Batch 7'!E144</f>
        <v>0.53287499999999999</v>
      </c>
      <c r="K10" s="50">
        <f>'SPR Batch8'!E114</f>
        <v>0.49987748100955648</v>
      </c>
      <c r="L10" s="50">
        <f>'SPR Batch9'!E76</f>
        <v>0.4427028171997458</v>
      </c>
      <c r="M10" s="50">
        <f>'SPR Batch10'!E72</f>
        <v>0.4321239298817775</v>
      </c>
      <c r="N10" s="50"/>
      <c r="O10" s="50"/>
      <c r="P10" s="50"/>
      <c r="Q10" s="50">
        <f>'SPR Batch14'!E32</f>
        <v>0.56664859422198122</v>
      </c>
      <c r="R10" s="50">
        <f>'SPR Batch15'!E33</f>
        <v>0.57582509399805037</v>
      </c>
      <c r="S10" s="50"/>
      <c r="T10" s="50"/>
      <c r="U10" s="50"/>
      <c r="V10" s="50"/>
      <c r="W10" s="50">
        <f>'SPR Batch20'!E31</f>
        <v>0.60939651680842444</v>
      </c>
      <c r="X10" s="50"/>
      <c r="Y10" s="50">
        <f>'SPR Batch22'!E31</f>
        <v>0.58554982135768152</v>
      </c>
      <c r="Z10" s="50"/>
      <c r="AA10" s="50"/>
      <c r="AB10" s="50"/>
      <c r="AC10" s="50"/>
      <c r="AD10" s="50"/>
    </row>
    <row r="11" spans="1:30" s="24" customFormat="1" x14ac:dyDescent="0.25">
      <c r="A11" s="48">
        <f t="shared" ref="A11:A13" si="1">A10+1</f>
        <v>9</v>
      </c>
      <c r="B11" s="49" t="s">
        <v>1</v>
      </c>
      <c r="C11" s="49" t="s">
        <v>101</v>
      </c>
      <c r="D11" s="50"/>
      <c r="E11" s="50"/>
      <c r="F11" s="50"/>
      <c r="G11" s="50">
        <f>'SPR Batch 4 '!D160</f>
        <v>0.6827825377396981</v>
      </c>
      <c r="H11" s="50"/>
      <c r="I11" s="50">
        <v>0.63542786910431714</v>
      </c>
      <c r="J11" s="50">
        <f>'SPR Batch 7'!E66</f>
        <v>0.65451160753394677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>
        <f>'SPR Batch21'!E62</f>
        <v>0.833350248655232</v>
      </c>
      <c r="Y11" s="50"/>
      <c r="Z11" s="50"/>
      <c r="AA11" s="50"/>
      <c r="AB11" s="50"/>
      <c r="AC11" s="50"/>
      <c r="AD11" s="50"/>
    </row>
    <row r="12" spans="1:30" s="24" customFormat="1" hidden="1" x14ac:dyDescent="0.25">
      <c r="A12" s="46">
        <f t="shared" si="1"/>
        <v>10</v>
      </c>
      <c r="B12" s="47" t="s">
        <v>1</v>
      </c>
      <c r="C12" s="47"/>
      <c r="E12" s="34"/>
      <c r="F12" s="34"/>
      <c r="G12" s="34"/>
      <c r="H12" s="34"/>
      <c r="I12" s="34"/>
      <c r="J12" s="34"/>
      <c r="S12" s="34"/>
      <c r="T12" s="34"/>
      <c r="U12" s="34"/>
      <c r="V12" s="34"/>
    </row>
    <row r="13" spans="1:30" s="24" customFormat="1" hidden="1" x14ac:dyDescent="0.25">
      <c r="A13" s="33">
        <f t="shared" si="1"/>
        <v>11</v>
      </c>
      <c r="B13" s="25" t="s">
        <v>1</v>
      </c>
      <c r="C13" s="25"/>
      <c r="E13" s="34"/>
      <c r="F13" s="34"/>
      <c r="G13" s="34"/>
      <c r="H13" s="34"/>
      <c r="I13" s="34"/>
      <c r="J13" s="34"/>
      <c r="S13" s="34"/>
      <c r="T13" s="34"/>
      <c r="U13" s="34"/>
      <c r="V13" s="34"/>
    </row>
    <row r="14" spans="1:30" s="24" customFormat="1" hidden="1" x14ac:dyDescent="0.25">
      <c r="A14" s="26"/>
      <c r="E14" s="34"/>
      <c r="F14" s="34"/>
      <c r="G14" s="34"/>
      <c r="H14" s="34"/>
      <c r="I14" s="34"/>
      <c r="J14" s="34"/>
      <c r="S14" s="34"/>
      <c r="T14" s="34"/>
      <c r="U14" s="34"/>
      <c r="V14" s="34"/>
    </row>
    <row r="15" spans="1:30" s="24" customFormat="1" x14ac:dyDescent="0.25">
      <c r="A15" s="45" t="s">
        <v>136</v>
      </c>
      <c r="E15" s="34"/>
      <c r="F15" s="34"/>
      <c r="G15" s="34"/>
      <c r="H15" s="34"/>
      <c r="I15" s="34"/>
      <c r="J15" s="34"/>
      <c r="S15" s="34"/>
      <c r="T15" s="34"/>
      <c r="U15" s="34"/>
      <c r="V15" s="34"/>
    </row>
    <row r="16" spans="1:30" s="24" customFormat="1" ht="12.75" customHeight="1" x14ac:dyDescent="0.25">
      <c r="A16" s="41"/>
      <c r="B16" s="42" t="s">
        <v>137</v>
      </c>
      <c r="E16" s="34"/>
      <c r="F16" s="34"/>
      <c r="G16" s="34"/>
      <c r="H16" s="34"/>
      <c r="I16" s="34"/>
      <c r="J16" s="34"/>
      <c r="S16" s="34"/>
      <c r="T16" s="34"/>
      <c r="U16" s="34"/>
      <c r="V16" s="34"/>
    </row>
    <row r="17" spans="1:30" s="24" customFormat="1" ht="12.75" customHeight="1" x14ac:dyDescent="0.25">
      <c r="A17" s="43"/>
      <c r="B17" s="42" t="s">
        <v>139</v>
      </c>
      <c r="E17" s="34"/>
      <c r="F17" s="34"/>
      <c r="G17" s="34"/>
      <c r="H17" s="34"/>
      <c r="I17" s="34"/>
      <c r="J17" s="34"/>
      <c r="S17" s="34"/>
      <c r="T17" s="34"/>
      <c r="U17" s="34"/>
      <c r="V17" s="34"/>
    </row>
    <row r="18" spans="1:30" s="24" customFormat="1" ht="12.75" customHeight="1" x14ac:dyDescent="0.25">
      <c r="A18" s="44"/>
      <c r="B18" s="42" t="s">
        <v>140</v>
      </c>
      <c r="E18" s="34"/>
      <c r="F18" s="34"/>
      <c r="G18" s="34"/>
      <c r="H18" s="34"/>
      <c r="I18" s="34"/>
      <c r="J18" s="34"/>
      <c r="S18" s="34"/>
      <c r="T18" s="34"/>
      <c r="U18" s="34"/>
      <c r="V18" s="34"/>
    </row>
    <row r="19" spans="1:30" s="39" customFormat="1" ht="18.75" x14ac:dyDescent="0.3">
      <c r="A19" s="84" t="s">
        <v>133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5"/>
      <c r="P19" s="85"/>
      <c r="Q19" s="85"/>
      <c r="R19" s="85"/>
    </row>
    <row r="20" spans="1:30" s="40" customFormat="1" ht="15.75" x14ac:dyDescent="0.25">
      <c r="A20" s="51" t="s">
        <v>73</v>
      </c>
      <c r="B20" s="52" t="s">
        <v>74</v>
      </c>
      <c r="C20" s="52" t="s">
        <v>75</v>
      </c>
      <c r="D20" s="52" t="s">
        <v>68</v>
      </c>
      <c r="E20" s="52" t="s">
        <v>69</v>
      </c>
      <c r="F20" s="52" t="s">
        <v>70</v>
      </c>
      <c r="G20" s="52" t="s">
        <v>71</v>
      </c>
      <c r="H20" s="52" t="s">
        <v>72</v>
      </c>
      <c r="I20" s="52" t="s">
        <v>99</v>
      </c>
      <c r="J20" s="52" t="s">
        <v>100</v>
      </c>
      <c r="K20" s="52" t="s">
        <v>113</v>
      </c>
      <c r="L20" s="52" t="s">
        <v>114</v>
      </c>
      <c r="M20" s="52" t="s">
        <v>115</v>
      </c>
      <c r="N20" s="52" t="s">
        <v>116</v>
      </c>
      <c r="O20" s="52" t="s">
        <v>117</v>
      </c>
      <c r="P20" s="52" t="s">
        <v>118</v>
      </c>
      <c r="Q20" s="52" t="s">
        <v>119</v>
      </c>
      <c r="R20" s="52" t="s">
        <v>120</v>
      </c>
      <c r="S20" s="52" t="s">
        <v>153</v>
      </c>
      <c r="T20" s="52" t="s">
        <v>154</v>
      </c>
      <c r="U20" s="52" t="s">
        <v>155</v>
      </c>
      <c r="V20" s="52" t="s">
        <v>156</v>
      </c>
      <c r="W20" s="52" t="s">
        <v>157</v>
      </c>
      <c r="X20" s="52" t="s">
        <v>158</v>
      </c>
      <c r="Y20" s="52" t="s">
        <v>159</v>
      </c>
      <c r="Z20" s="52" t="s">
        <v>160</v>
      </c>
      <c r="AA20" s="52" t="s">
        <v>161</v>
      </c>
      <c r="AB20" s="52" t="s">
        <v>162</v>
      </c>
      <c r="AC20" s="52" t="s">
        <v>163</v>
      </c>
      <c r="AD20" s="52" t="s">
        <v>164</v>
      </c>
    </row>
    <row r="21" spans="1:30" x14ac:dyDescent="0.25">
      <c r="A21" s="48">
        <v>1</v>
      </c>
      <c r="B21" s="49" t="s">
        <v>1</v>
      </c>
      <c r="C21" s="49" t="s">
        <v>83</v>
      </c>
      <c r="D21" s="50">
        <f>'SPR Batch 1'!F118</f>
        <v>0.22748144654868574</v>
      </c>
      <c r="E21" s="50"/>
      <c r="F21" s="50"/>
      <c r="G21" s="50"/>
      <c r="H21" s="50"/>
      <c r="I21" s="50"/>
      <c r="J21" s="50">
        <f>'SPR Batch 7'!F90</f>
        <v>0.36308805790108567</v>
      </c>
      <c r="K21" s="50">
        <f>'SPR Batch8'!F140</f>
        <v>0.16858017604286263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spans="1:30" x14ac:dyDescent="0.25">
      <c r="A22" s="48">
        <f>A21+1</f>
        <v>2</v>
      </c>
      <c r="B22" s="49" t="s">
        <v>1</v>
      </c>
      <c r="C22" s="49" t="s">
        <v>84</v>
      </c>
      <c r="D22" s="50">
        <f>'SPR Batch 1'!F263</f>
        <v>0.14346355487907994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>
        <f>'SPR Batch13'!F98</f>
        <v>8.7403018761461421E-2</v>
      </c>
      <c r="Q22" s="50"/>
      <c r="R22" s="50"/>
      <c r="S22" s="50">
        <f>'SPR Batch16'!F55</f>
        <v>0.12469782433521352</v>
      </c>
      <c r="T22" s="50"/>
      <c r="U22" s="50"/>
      <c r="V22" s="50">
        <f>'SPR Batch19'!F69</f>
        <v>0.1173408915228034</v>
      </c>
      <c r="W22" s="50"/>
      <c r="X22" s="50"/>
      <c r="Y22" s="50"/>
      <c r="Z22" s="50"/>
      <c r="AA22" s="50"/>
      <c r="AB22" s="50"/>
      <c r="AC22" s="50"/>
      <c r="AD22" s="50"/>
    </row>
    <row r="23" spans="1:30" s="24" customFormat="1" x14ac:dyDescent="0.25">
      <c r="A23" s="48">
        <f t="shared" ref="A23:A29" si="2">A22+1</f>
        <v>3</v>
      </c>
      <c r="B23" s="49" t="s">
        <v>1</v>
      </c>
      <c r="C23" s="49" t="s">
        <v>8</v>
      </c>
      <c r="D23" s="50"/>
      <c r="E23" s="50">
        <f>'SPR Batch 2'!E34</f>
        <v>0.23482979773063639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spans="1:30" s="24" customFormat="1" x14ac:dyDescent="0.25">
      <c r="A24" s="48">
        <f t="shared" si="2"/>
        <v>4</v>
      </c>
      <c r="B24" s="49" t="s">
        <v>1</v>
      </c>
      <c r="C24" s="49" t="s">
        <v>9</v>
      </c>
      <c r="D24" s="50"/>
      <c r="E24" s="50">
        <f>'SPR Batch 2'!E62</f>
        <v>0.33981368975293635</v>
      </c>
      <c r="F24" s="50">
        <f>'SPR Batch 3 '!E80</f>
        <v>0.30881590319792562</v>
      </c>
      <c r="G24" s="50">
        <f>'SPR Batch 4 '!E83</f>
        <v>0.31470809320972187</v>
      </c>
      <c r="H24" s="50">
        <f>'SPR Batch 5'!F80</f>
        <v>0.20666226290459563</v>
      </c>
      <c r="I24" s="50">
        <f>'SPR Batch6'!F96</f>
        <v>0.30118850609297432</v>
      </c>
      <c r="J24" s="50"/>
      <c r="K24" s="50">
        <f>'SPR Batch8'!F73</f>
        <v>0.14196597353497165</v>
      </c>
      <c r="L24" s="50"/>
      <c r="M24" s="50">
        <f>'SPR Batch10'!F52</f>
        <v>0.15665796344647517</v>
      </c>
      <c r="N24" s="50"/>
      <c r="O24" s="50">
        <f>'SPR Batch12'!F104</f>
        <v>0.27163660433559494</v>
      </c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</row>
    <row r="25" spans="1:30" s="24" customFormat="1" x14ac:dyDescent="0.25">
      <c r="A25" s="48">
        <f t="shared" si="2"/>
        <v>5</v>
      </c>
      <c r="B25" s="49" t="s">
        <v>1</v>
      </c>
      <c r="C25" s="49" t="s">
        <v>10</v>
      </c>
      <c r="D25" s="50"/>
      <c r="E25" s="50">
        <f>'SPR Batch 2'!E113</f>
        <v>0.28354430379746837</v>
      </c>
      <c r="F25" s="50">
        <f>'SPR Batch 3 '!E43</f>
        <v>0.21281186783546868</v>
      </c>
      <c r="G25" s="50"/>
      <c r="H25" s="50"/>
      <c r="I25" s="50"/>
      <c r="J25" s="50"/>
      <c r="K25" s="50"/>
      <c r="L25" s="50"/>
      <c r="M25" s="50"/>
      <c r="N25" s="50">
        <f>'SPR Batch11'!F104</f>
        <v>0.22061535759243542</v>
      </c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</row>
    <row r="26" spans="1:30" s="24" customFormat="1" x14ac:dyDescent="0.25">
      <c r="A26" s="48">
        <f t="shared" si="2"/>
        <v>6</v>
      </c>
      <c r="B26" s="49" t="s">
        <v>1</v>
      </c>
      <c r="C26" s="49" t="s">
        <v>11</v>
      </c>
      <c r="D26" s="50"/>
      <c r="E26" s="50">
        <f>'SPR Batch 2'!E93</f>
        <v>0.29114447045861458</v>
      </c>
      <c r="F26" s="50">
        <f>'SPR Batch 3 '!E124</f>
        <v>0.31725199794706344</v>
      </c>
      <c r="G26" s="50">
        <f>'SPR Batch 4 '!E52</f>
        <v>0.29942767950052035</v>
      </c>
      <c r="H26" s="50">
        <f>'SPR Batch 5'!F44</f>
        <v>0.30845169739095396</v>
      </c>
      <c r="I26" s="50"/>
      <c r="J26" s="50"/>
      <c r="K26" s="50">
        <f>'SPR Batch8'!F48</f>
        <v>0.25090424519322296</v>
      </c>
      <c r="L26" s="50">
        <f>'SPR Batch9'!F54</f>
        <v>0.34173239848086479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>
        <f>'SPR Batch23'!F80</f>
        <v>0.17092160057939529</v>
      </c>
      <c r="AA26" s="50"/>
      <c r="AB26" s="50"/>
      <c r="AC26" s="50"/>
      <c r="AD26" s="50"/>
    </row>
    <row r="27" spans="1:30" s="24" customFormat="1" x14ac:dyDescent="0.25">
      <c r="A27" s="48">
        <f t="shared" si="2"/>
        <v>7</v>
      </c>
      <c r="B27" s="49" t="s">
        <v>1</v>
      </c>
      <c r="C27" s="49" t="s">
        <v>102</v>
      </c>
      <c r="D27" s="50"/>
      <c r="E27" s="50">
        <f>'SPR Batch 2'!E135</f>
        <v>0.19115204590064921</v>
      </c>
      <c r="F27" s="50"/>
      <c r="G27" s="50">
        <f>'SPR Batch 4 '!E136</f>
        <v>0.1365194595684614</v>
      </c>
      <c r="H27" s="50">
        <f>'SPR Batch 5'!F111</f>
        <v>0.15482541222114449</v>
      </c>
      <c r="I27" s="50"/>
      <c r="J27" s="50"/>
      <c r="K27" s="50">
        <f>'SPR Batch8'!F97</f>
        <v>0.22115569207141486</v>
      </c>
      <c r="L27" s="50">
        <f>'SPR Batch9'!L123</f>
        <v>0.21072924347603766</v>
      </c>
      <c r="M27" s="50"/>
      <c r="N27" s="50"/>
      <c r="O27" s="50"/>
      <c r="P27" s="50"/>
      <c r="Q27" s="50"/>
      <c r="R27" s="50"/>
      <c r="S27" s="50"/>
      <c r="T27" s="50">
        <f>'SPR Batch17'!F106</f>
        <v>6.3034655010927254E-2</v>
      </c>
      <c r="U27" s="50">
        <f>'SPR Batch18'!F189</f>
        <v>7.4982185186801026E-2</v>
      </c>
      <c r="V27" s="50"/>
      <c r="W27" s="50"/>
      <c r="X27" s="50"/>
      <c r="Y27" s="50"/>
      <c r="Z27" s="50"/>
      <c r="AA27" s="50"/>
      <c r="AB27" s="50"/>
      <c r="AC27" s="50"/>
      <c r="AD27" s="50"/>
    </row>
    <row r="28" spans="1:30" s="24" customFormat="1" x14ac:dyDescent="0.25">
      <c r="A28" s="48">
        <f t="shared" si="2"/>
        <v>8</v>
      </c>
      <c r="B28" s="49" t="s">
        <v>1</v>
      </c>
      <c r="C28" s="49" t="s">
        <v>13</v>
      </c>
      <c r="D28" s="50"/>
      <c r="E28" s="50">
        <v>0.4250000000000001</v>
      </c>
      <c r="F28" s="50">
        <f>'SPR Batch 3 '!E144</f>
        <v>0.43714448236632536</v>
      </c>
      <c r="G28" s="50">
        <f>'SPR Batch 4 '!E112</f>
        <v>0.37432578209277234</v>
      </c>
      <c r="H28" s="50"/>
      <c r="I28" s="50">
        <f>'SPR Batch6'!F114</f>
        <v>0.44186046511627908</v>
      </c>
      <c r="J28" s="50">
        <f>'SPR Batch 7'!F144</f>
        <v>0.43700000000000006</v>
      </c>
      <c r="K28" s="50">
        <f>'SPR Batch8'!F114</f>
        <v>0.46287674589561378</v>
      </c>
      <c r="L28" s="50">
        <f>'SPR Batch9'!F76</f>
        <v>0.5220292310951069</v>
      </c>
      <c r="M28" s="50">
        <f>'SPR Batch10'!F72</f>
        <v>0.52860442994972157</v>
      </c>
      <c r="N28" s="50"/>
      <c r="O28" s="50"/>
      <c r="P28" s="50"/>
      <c r="Q28" s="50">
        <f>'SPR Batch14'!F32</f>
        <v>0.40267988536906507</v>
      </c>
      <c r="R28" s="50">
        <f>'SPR Batch15'!F33</f>
        <v>0.39082300515248569</v>
      </c>
      <c r="S28" s="50"/>
      <c r="T28" s="50"/>
      <c r="U28" s="50"/>
      <c r="V28" s="50"/>
      <c r="W28" s="50">
        <f>'SPR Batch20'!F31</f>
        <v>0.35982179019846089</v>
      </c>
      <c r="X28" s="50"/>
      <c r="Y28" s="50">
        <f>'SPR Batch22'!F31</f>
        <v>0.37776895593489473</v>
      </c>
      <c r="Z28" s="50"/>
      <c r="AA28" s="50"/>
      <c r="AB28" s="50"/>
      <c r="AC28" s="50"/>
      <c r="AD28" s="50"/>
    </row>
    <row r="29" spans="1:30" s="24" customFormat="1" x14ac:dyDescent="0.25">
      <c r="A29" s="48">
        <f t="shared" si="2"/>
        <v>9</v>
      </c>
      <c r="B29" s="49" t="s">
        <v>1</v>
      </c>
      <c r="C29" s="49" t="s">
        <v>101</v>
      </c>
      <c r="D29" s="50"/>
      <c r="E29" s="50"/>
      <c r="F29" s="50"/>
      <c r="G29" s="50">
        <f>'SPR Batch 4 '!E160</f>
        <v>0.29559363525091803</v>
      </c>
      <c r="H29" s="50"/>
      <c r="I29" s="50">
        <f>'SPR Batch6'!F54</f>
        <v>0.34060531571669994</v>
      </c>
      <c r="J29" s="50">
        <f>'SPR Batch 7'!F66</f>
        <v>0.32884362680683321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>
        <f>'SPR Batch21'!F62</f>
        <v>0.15167969146452856</v>
      </c>
      <c r="Y29" s="50"/>
      <c r="Z29" s="50"/>
      <c r="AA29" s="50"/>
      <c r="AB29" s="50"/>
      <c r="AC29" s="50"/>
      <c r="AD29" s="50"/>
    </row>
    <row r="30" spans="1:30" s="24" customFormat="1" x14ac:dyDescent="0.25">
      <c r="A30" s="45" t="s">
        <v>136</v>
      </c>
      <c r="E30" s="34"/>
      <c r="F30" s="34"/>
      <c r="G30" s="34"/>
      <c r="H30" s="34"/>
      <c r="I30" s="34"/>
      <c r="J30" s="34"/>
      <c r="S30" s="34"/>
      <c r="T30" s="34"/>
      <c r="U30" s="34"/>
      <c r="V30" s="34"/>
    </row>
    <row r="31" spans="1:30" s="24" customFormat="1" ht="12.75" customHeight="1" x14ac:dyDescent="0.25">
      <c r="A31" s="41"/>
      <c r="B31" s="42" t="s">
        <v>179</v>
      </c>
      <c r="E31" s="34"/>
      <c r="F31" s="34"/>
      <c r="G31" s="34"/>
      <c r="H31" s="34"/>
      <c r="I31" s="34"/>
      <c r="J31" s="34"/>
      <c r="S31" s="34"/>
      <c r="T31" s="34"/>
      <c r="U31" s="34"/>
      <c r="V31" s="34"/>
    </row>
    <row r="32" spans="1:30" s="24" customFormat="1" ht="12.75" customHeight="1" x14ac:dyDescent="0.25">
      <c r="A32" s="43"/>
      <c r="B32" s="42" t="s">
        <v>178</v>
      </c>
      <c r="E32" s="34"/>
      <c r="F32" s="34"/>
      <c r="G32" s="34"/>
      <c r="H32" s="34"/>
      <c r="I32" s="34"/>
      <c r="J32" s="34"/>
      <c r="S32" s="34"/>
      <c r="T32" s="34"/>
      <c r="U32" s="34"/>
      <c r="V32" s="34"/>
    </row>
    <row r="33" spans="1:30" s="24" customFormat="1" ht="12.75" customHeight="1" x14ac:dyDescent="0.25">
      <c r="A33" s="44"/>
      <c r="B33" s="42" t="s">
        <v>138</v>
      </c>
      <c r="E33" s="34"/>
      <c r="F33" s="34"/>
      <c r="G33" s="34"/>
      <c r="H33" s="34"/>
      <c r="I33" s="34"/>
      <c r="J33" s="34"/>
      <c r="S33" s="34"/>
      <c r="T33" s="34"/>
      <c r="U33" s="34"/>
      <c r="V33" s="34"/>
    </row>
    <row r="34" spans="1:30" s="39" customFormat="1" ht="18.75" x14ac:dyDescent="0.3">
      <c r="A34" s="84" t="s">
        <v>134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5"/>
      <c r="P34" s="85"/>
      <c r="Q34" s="85"/>
      <c r="R34" s="85"/>
    </row>
    <row r="35" spans="1:30" s="40" customFormat="1" ht="15.75" x14ac:dyDescent="0.25">
      <c r="A35" s="51" t="s">
        <v>73</v>
      </c>
      <c r="B35" s="52" t="s">
        <v>74</v>
      </c>
      <c r="C35" s="52" t="s">
        <v>75</v>
      </c>
      <c r="D35" s="52" t="s">
        <v>68</v>
      </c>
      <c r="E35" s="52" t="s">
        <v>69</v>
      </c>
      <c r="F35" s="52" t="s">
        <v>70</v>
      </c>
      <c r="G35" s="52" t="s">
        <v>71</v>
      </c>
      <c r="H35" s="52" t="s">
        <v>72</v>
      </c>
      <c r="I35" s="52" t="s">
        <v>99</v>
      </c>
      <c r="J35" s="52" t="s">
        <v>100</v>
      </c>
      <c r="K35" s="52" t="s">
        <v>113</v>
      </c>
      <c r="L35" s="52" t="s">
        <v>114</v>
      </c>
      <c r="M35" s="52" t="s">
        <v>115</v>
      </c>
      <c r="N35" s="52" t="s">
        <v>116</v>
      </c>
      <c r="O35" s="52" t="s">
        <v>117</v>
      </c>
      <c r="P35" s="52" t="s">
        <v>118</v>
      </c>
      <c r="Q35" s="52" t="s">
        <v>119</v>
      </c>
      <c r="R35" s="52" t="s">
        <v>120</v>
      </c>
      <c r="S35" s="52" t="s">
        <v>153</v>
      </c>
      <c r="T35" s="52" t="s">
        <v>154</v>
      </c>
      <c r="U35" s="52" t="s">
        <v>155</v>
      </c>
      <c r="V35" s="52" t="s">
        <v>156</v>
      </c>
      <c r="W35" s="52" t="s">
        <v>157</v>
      </c>
      <c r="X35" s="52" t="s">
        <v>158</v>
      </c>
      <c r="Y35" s="52" t="s">
        <v>159</v>
      </c>
      <c r="Z35" s="52" t="s">
        <v>160</v>
      </c>
      <c r="AA35" s="52" t="s">
        <v>161</v>
      </c>
      <c r="AB35" s="52" t="s">
        <v>162</v>
      </c>
      <c r="AC35" s="52" t="s">
        <v>163</v>
      </c>
      <c r="AD35" s="52" t="s">
        <v>164</v>
      </c>
    </row>
    <row r="36" spans="1:30" x14ac:dyDescent="0.25">
      <c r="A36" s="48">
        <v>1</v>
      </c>
      <c r="B36" s="49" t="s">
        <v>1</v>
      </c>
      <c r="C36" s="49" t="s">
        <v>83</v>
      </c>
      <c r="D36" s="50">
        <f>'SPR Batch 1'!G118</f>
        <v>1.352726550671399E-2</v>
      </c>
      <c r="E36" s="50"/>
      <c r="F36" s="50"/>
      <c r="G36" s="50"/>
      <c r="H36" s="50"/>
      <c r="I36" s="50"/>
      <c r="J36" s="50">
        <f>'SPR Batch 7'!G90</f>
        <v>2.2195416164053076E-2</v>
      </c>
      <c r="K36" s="50">
        <f>'SPR Batch8'!G140</f>
        <v>1.3203214695752013E-2</v>
      </c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</row>
    <row r="37" spans="1:30" x14ac:dyDescent="0.25">
      <c r="A37" s="48">
        <f>A36+1</f>
        <v>2</v>
      </c>
      <c r="B37" s="49" t="s">
        <v>1</v>
      </c>
      <c r="C37" s="49" t="s">
        <v>84</v>
      </c>
      <c r="D37" s="50">
        <f>'SPR Batch 1'!G263</f>
        <v>2.2543548114324366E-2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>
        <f>'SPR Batch13'!G98</f>
        <v>2.6858513189448444E-2</v>
      </c>
      <c r="Q37" s="50"/>
      <c r="R37" s="50"/>
      <c r="S37" s="50">
        <f>'SPR Batch16'!G55</f>
        <v>2.9747515444533974E-2</v>
      </c>
      <c r="T37" s="50"/>
      <c r="U37" s="50"/>
      <c r="V37" s="50">
        <f>'SPR Batch19'!G69</f>
        <v>3.040453491368204E-2</v>
      </c>
      <c r="W37" s="50"/>
      <c r="X37" s="50"/>
      <c r="Y37" s="50"/>
      <c r="Z37" s="50"/>
      <c r="AA37" s="50"/>
      <c r="AB37" s="50"/>
      <c r="AC37" s="50"/>
      <c r="AD37" s="50"/>
    </row>
    <row r="38" spans="1:30" x14ac:dyDescent="0.25">
      <c r="A38" s="48">
        <f t="shared" ref="A38:A44" si="3">A37+1</f>
        <v>3</v>
      </c>
      <c r="B38" s="49" t="s">
        <v>1</v>
      </c>
      <c r="C38" s="49" t="s">
        <v>8</v>
      </c>
      <c r="D38" s="50"/>
      <c r="E38" s="50">
        <f>'SPR Batch 2'!F34</f>
        <v>1.6773556980759743E-2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25">
      <c r="A39" s="48">
        <f t="shared" si="3"/>
        <v>4</v>
      </c>
      <c r="B39" s="49" t="s">
        <v>1</v>
      </c>
      <c r="C39" s="49" t="s">
        <v>9</v>
      </c>
      <c r="D39" s="50"/>
      <c r="E39" s="50">
        <f>'SPR Batch 2'!F62</f>
        <v>1.4985824220332117E-2</v>
      </c>
      <c r="F39" s="50">
        <f>'SPR Batch 3 '!F80</f>
        <v>1.4433880726015555E-2</v>
      </c>
      <c r="G39" s="50">
        <f>'SPR Batch 4 '!F83</f>
        <v>1.4908544224505138E-2</v>
      </c>
      <c r="H39" s="50">
        <f>'SPR Batch 5'!G80</f>
        <v>1.273945456261206E-2</v>
      </c>
      <c r="I39" s="50">
        <f>'SPR Batch6'!G96</f>
        <v>1.1584173311268245E-2</v>
      </c>
      <c r="J39" s="50"/>
      <c r="K39" s="50">
        <f>'SPR Batch8'!G73</f>
        <v>1.4177693761814745E-2</v>
      </c>
      <c r="L39" s="50"/>
      <c r="M39" s="50">
        <f>'SPR Batch10'!G52</f>
        <v>1.9169987632266041E-2</v>
      </c>
      <c r="N39" s="50"/>
      <c r="O39" s="50">
        <f>'SPR Batch12'!G104</f>
        <v>1.3845220365160794E-2</v>
      </c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25">
      <c r="A40" s="48">
        <f t="shared" si="3"/>
        <v>5</v>
      </c>
      <c r="B40" s="49" t="s">
        <v>1</v>
      </c>
      <c r="C40" s="49" t="s">
        <v>10</v>
      </c>
      <c r="D40" s="50"/>
      <c r="E40" s="50">
        <f>'SPR Batch 2'!F113</f>
        <v>1.2296564195298372E-2</v>
      </c>
      <c r="F40" s="50">
        <f>'SPR Batch 3 '!F43</f>
        <v>8.7660148347943369E-3</v>
      </c>
      <c r="G40" s="50"/>
      <c r="H40" s="50"/>
      <c r="I40" s="50"/>
      <c r="J40" s="50"/>
      <c r="K40" s="50"/>
      <c r="L40" s="50"/>
      <c r="M40" s="50"/>
      <c r="N40" s="50">
        <f>'SPR Batch11'!G104</f>
        <v>1.9321408706343864E-2</v>
      </c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25">
      <c r="A41" s="48">
        <f t="shared" si="3"/>
        <v>6</v>
      </c>
      <c r="B41" s="49" t="s">
        <v>1</v>
      </c>
      <c r="C41" s="49" t="s">
        <v>11</v>
      </c>
      <c r="D41" s="50"/>
      <c r="E41" s="50">
        <f>'SPR Batch 2'!F93</f>
        <v>9.7782674562732416E-3</v>
      </c>
      <c r="F41" s="50">
        <f>'SPR Batch 3 '!F124</f>
        <v>1.4663831659212546E-2</v>
      </c>
      <c r="G41" s="50">
        <f>'SPR Batch 4 '!F52</f>
        <v>1.0839403399236908E-2</v>
      </c>
      <c r="H41" s="50">
        <f>'SPR Batch 5'!G44</f>
        <v>1.0778684396091467E-2</v>
      </c>
      <c r="I41" s="50"/>
      <c r="J41" s="50"/>
      <c r="K41" s="50">
        <f>'SPR Batch8'!G48</f>
        <v>1.4658290500666287E-2</v>
      </c>
      <c r="L41" s="50">
        <f>'SPR Batch9'!G54</f>
        <v>1.1977797253870874E-2</v>
      </c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>
        <f>'SPR Batch23'!G80</f>
        <v>1.3489045808437445E-2</v>
      </c>
      <c r="AA41" s="50"/>
      <c r="AB41" s="50"/>
      <c r="AC41" s="50"/>
      <c r="AD41" s="50"/>
    </row>
    <row r="42" spans="1:30" x14ac:dyDescent="0.25">
      <c r="A42" s="48">
        <f t="shared" si="3"/>
        <v>7</v>
      </c>
      <c r="B42" s="49" t="s">
        <v>1</v>
      </c>
      <c r="C42" s="49" t="s">
        <v>102</v>
      </c>
      <c r="D42" s="50"/>
      <c r="E42" s="50">
        <f>'SPR Batch 2'!F135</f>
        <v>1.6306809602898986E-2</v>
      </c>
      <c r="F42" s="50"/>
      <c r="G42" s="50">
        <f>'SPR Batch 4 '!F136</f>
        <v>1.3309134906231096E-2</v>
      </c>
      <c r="H42" s="50">
        <f>'SPR Batch 5'!G111</f>
        <v>1.6367604267701258E-2</v>
      </c>
      <c r="I42" s="50"/>
      <c r="J42" s="50"/>
      <c r="K42" s="50">
        <f>'SPR Batch8'!G97</f>
        <v>1.5166058744480708E-2</v>
      </c>
      <c r="L42" s="50">
        <f>'SPR Batch9'!M123</f>
        <v>2.4683574588585399E-2</v>
      </c>
      <c r="M42" s="50"/>
      <c r="N42" s="50"/>
      <c r="O42" s="50"/>
      <c r="P42" s="50"/>
      <c r="Q42" s="50"/>
      <c r="R42" s="50"/>
      <c r="S42" s="50"/>
      <c r="T42" s="50">
        <f>'SPR Batch17'!G106</f>
        <v>1.8950983453012802E-2</v>
      </c>
      <c r="U42" s="50">
        <f>'SPR Batch18'!G189</f>
        <v>1.964719398513735E-2</v>
      </c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25">
      <c r="A43" s="48">
        <f t="shared" si="3"/>
        <v>8</v>
      </c>
      <c r="B43" s="49" t="s">
        <v>1</v>
      </c>
      <c r="C43" s="49" t="s">
        <v>13</v>
      </c>
      <c r="D43" s="50"/>
      <c r="E43" s="50">
        <v>2.2701149425287361E-2</v>
      </c>
      <c r="F43" s="50">
        <f>'SPR Batch 3 '!F144</f>
        <v>1.137656427758817E-2</v>
      </c>
      <c r="G43" s="50">
        <f>'SPR Batch 4 '!F112</f>
        <v>2.2114347357065797E-2</v>
      </c>
      <c r="H43" s="50"/>
      <c r="I43" s="50">
        <f>'SPR Batch6'!G114</f>
        <v>2.1945627251883391E-2</v>
      </c>
      <c r="J43" s="50">
        <f>'SPR Batch 7'!G144</f>
        <v>2.2250000000000002E-2</v>
      </c>
      <c r="K43" s="50">
        <f>'SPR Batch8'!G114</f>
        <v>2.3523646165155596E-2</v>
      </c>
      <c r="L43" s="50">
        <f>'SPR Batch9'!G76</f>
        <v>2.0758313916543106E-2</v>
      </c>
      <c r="M43" s="50">
        <f>'SPR Batch10'!G72</f>
        <v>2.2693300720206554E-2</v>
      </c>
      <c r="N43" s="50"/>
      <c r="O43" s="50"/>
      <c r="P43" s="50"/>
      <c r="Q43" s="50">
        <f>'SPR Batch14'!G32</f>
        <v>1.8511346913484623E-2</v>
      </c>
      <c r="R43" s="50">
        <f>'SPR Batch15'!G33</f>
        <v>1.8033700041776908E-2</v>
      </c>
      <c r="S43" s="50"/>
      <c r="T43" s="50"/>
      <c r="U43" s="50"/>
      <c r="V43" s="50"/>
      <c r="W43" s="50">
        <f>'SPR Batch20'!G31</f>
        <v>1.4256784123126772E-2</v>
      </c>
      <c r="X43" s="50"/>
      <c r="Y43" s="50">
        <f>'SPR Batch22'!G31</f>
        <v>2.4215958713775302E-2</v>
      </c>
      <c r="Z43" s="50"/>
      <c r="AA43" s="50"/>
      <c r="AB43" s="50"/>
      <c r="AC43" s="50"/>
      <c r="AD43" s="50"/>
    </row>
    <row r="44" spans="1:30" x14ac:dyDescent="0.25">
      <c r="A44" s="48">
        <f t="shared" si="3"/>
        <v>9</v>
      </c>
      <c r="B44" s="49" t="s">
        <v>1</v>
      </c>
      <c r="C44" s="49" t="s">
        <v>101</v>
      </c>
      <c r="D44" s="50"/>
      <c r="E44" s="50"/>
      <c r="F44" s="50"/>
      <c r="G44" s="50">
        <f>'SPR Batch 4 '!F160</f>
        <v>1.1015911872705019E-2</v>
      </c>
      <c r="H44" s="50"/>
      <c r="I44" s="50">
        <f>'SPR Batch6'!G54</f>
        <v>1.3750192041788293E-2</v>
      </c>
      <c r="J44" s="50">
        <f>'SPR Batch 7'!G66</f>
        <v>1.4618922470433643E-2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>
        <f>'SPR Batch21'!G62</f>
        <v>1.1773064041408708E-2</v>
      </c>
      <c r="Y44" s="50"/>
      <c r="Z44" s="50"/>
      <c r="AA44" s="50"/>
      <c r="AB44" s="50"/>
      <c r="AC44" s="50"/>
      <c r="AD44" s="50"/>
    </row>
    <row r="45" spans="1:30" s="24" customFormat="1" x14ac:dyDescent="0.25">
      <c r="A45" s="45" t="s">
        <v>136</v>
      </c>
      <c r="E45" s="34"/>
      <c r="F45" s="34"/>
      <c r="G45" s="34"/>
      <c r="H45" s="34"/>
      <c r="I45" s="34"/>
      <c r="J45" s="34"/>
      <c r="S45" s="34"/>
      <c r="T45" s="34"/>
      <c r="U45" s="34"/>
      <c r="V45" s="34"/>
    </row>
    <row r="46" spans="1:30" s="24" customFormat="1" ht="12.75" customHeight="1" x14ac:dyDescent="0.25">
      <c r="A46" s="41"/>
      <c r="B46" s="42" t="s">
        <v>173</v>
      </c>
      <c r="E46" s="34"/>
      <c r="F46" s="34"/>
      <c r="G46" s="34"/>
      <c r="H46" s="34"/>
      <c r="I46" s="34"/>
      <c r="J46" s="34"/>
      <c r="S46" s="34"/>
      <c r="T46" s="34"/>
      <c r="U46" s="34"/>
      <c r="V46" s="34"/>
    </row>
    <row r="47" spans="1:30" s="24" customFormat="1" ht="12.75" customHeight="1" x14ac:dyDescent="0.25">
      <c r="A47" s="43"/>
      <c r="B47" s="42" t="s">
        <v>141</v>
      </c>
      <c r="E47" s="34"/>
      <c r="F47" s="34"/>
      <c r="G47" s="34"/>
      <c r="H47" s="34"/>
      <c r="I47" s="34"/>
      <c r="J47" s="34"/>
      <c r="S47" s="34"/>
      <c r="T47" s="34"/>
      <c r="U47" s="34"/>
      <c r="V47" s="34"/>
    </row>
    <row r="48" spans="1:30" s="24" customFormat="1" ht="12.75" customHeight="1" x14ac:dyDescent="0.25">
      <c r="A48" s="44"/>
      <c r="B48" s="42" t="s">
        <v>174</v>
      </c>
      <c r="E48" s="34"/>
      <c r="F48" s="34"/>
      <c r="G48" s="34"/>
      <c r="H48" s="34"/>
      <c r="I48" s="34"/>
      <c r="J48" s="34"/>
      <c r="S48" s="34"/>
      <c r="T48" s="34"/>
      <c r="U48" s="34"/>
      <c r="V48" s="34"/>
    </row>
    <row r="49" spans="1:30" s="39" customFormat="1" ht="18.75" x14ac:dyDescent="0.3">
      <c r="A49" s="84" t="s">
        <v>135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5"/>
      <c r="P49" s="85"/>
      <c r="Q49" s="85"/>
      <c r="R49" s="85"/>
    </row>
    <row r="50" spans="1:30" s="40" customFormat="1" ht="15.75" x14ac:dyDescent="0.25">
      <c r="A50" s="51" t="s">
        <v>73</v>
      </c>
      <c r="B50" s="52" t="s">
        <v>74</v>
      </c>
      <c r="C50" s="52" t="s">
        <v>75</v>
      </c>
      <c r="D50" s="52" t="s">
        <v>68</v>
      </c>
      <c r="E50" s="52" t="s">
        <v>69</v>
      </c>
      <c r="F50" s="52" t="s">
        <v>70</v>
      </c>
      <c r="G50" s="52" t="s">
        <v>71</v>
      </c>
      <c r="H50" s="52" t="s">
        <v>72</v>
      </c>
      <c r="I50" s="52" t="s">
        <v>99</v>
      </c>
      <c r="J50" s="52" t="s">
        <v>100</v>
      </c>
      <c r="K50" s="52" t="s">
        <v>113</v>
      </c>
      <c r="L50" s="52" t="s">
        <v>114</v>
      </c>
      <c r="M50" s="52" t="s">
        <v>115</v>
      </c>
      <c r="N50" s="52" t="s">
        <v>116</v>
      </c>
      <c r="O50" s="52" t="s">
        <v>117</v>
      </c>
      <c r="P50" s="52" t="s">
        <v>118</v>
      </c>
      <c r="Q50" s="52" t="s">
        <v>119</v>
      </c>
      <c r="R50" s="52" t="s">
        <v>120</v>
      </c>
      <c r="S50" s="52" t="s">
        <v>153</v>
      </c>
      <c r="T50" s="52" t="s">
        <v>154</v>
      </c>
      <c r="U50" s="52" t="s">
        <v>155</v>
      </c>
      <c r="V50" s="52" t="s">
        <v>156</v>
      </c>
      <c r="W50" s="52" t="s">
        <v>157</v>
      </c>
      <c r="X50" s="52" t="s">
        <v>158</v>
      </c>
      <c r="Y50" s="52" t="s">
        <v>159</v>
      </c>
      <c r="Z50" s="52" t="s">
        <v>160</v>
      </c>
      <c r="AA50" s="52" t="s">
        <v>161</v>
      </c>
      <c r="AB50" s="52" t="s">
        <v>162</v>
      </c>
      <c r="AC50" s="52" t="s">
        <v>163</v>
      </c>
      <c r="AD50" s="52" t="s">
        <v>164</v>
      </c>
    </row>
    <row r="51" spans="1:30" x14ac:dyDescent="0.25">
      <c r="A51" s="48">
        <v>1</v>
      </c>
      <c r="B51" s="49" t="s">
        <v>1</v>
      </c>
      <c r="C51" s="49" t="s">
        <v>83</v>
      </c>
      <c r="D51" s="50">
        <f>'SPR Batch 1'!H118</f>
        <v>1.1417508501079698E-2</v>
      </c>
      <c r="E51" s="50"/>
      <c r="F51" s="50"/>
      <c r="G51" s="50"/>
      <c r="H51" s="50"/>
      <c r="I51" s="50"/>
      <c r="J51" s="50">
        <f>'SPR Batch 7'!H90</f>
        <v>6.9963811821471536E-3</v>
      </c>
      <c r="K51" s="50">
        <f>'SPR Batch8'!H140</f>
        <v>4.9751243781092896E-3</v>
      </c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25">
      <c r="A52" s="48">
        <f>A51+1</f>
        <v>2</v>
      </c>
      <c r="B52" s="49" t="s">
        <v>1</v>
      </c>
      <c r="C52" s="49" t="s">
        <v>84</v>
      </c>
      <c r="D52" s="50">
        <f>'SPR Batch 1'!H263</f>
        <v>1.3766277693218575E-2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>
        <f>'SPR Batch13'!H98</f>
        <v>4.6833121737903495E-3</v>
      </c>
      <c r="Q52" s="50"/>
      <c r="R52" s="50"/>
      <c r="S52" s="50">
        <f>'SPR Batch16'!H55</f>
        <v>2.7531560569434262E-3</v>
      </c>
      <c r="T52" s="50"/>
      <c r="U52" s="50"/>
      <c r="V52" s="50">
        <f>'SPR Batch19'!H69</f>
        <v>3.8134501417160117E-3</v>
      </c>
      <c r="W52" s="50"/>
      <c r="X52" s="50"/>
      <c r="Y52" s="50"/>
      <c r="Z52" s="50"/>
      <c r="AA52" s="50"/>
      <c r="AB52" s="50"/>
      <c r="AC52" s="50"/>
      <c r="AD52" s="50"/>
    </row>
    <row r="53" spans="1:30" x14ac:dyDescent="0.25">
      <c r="A53" s="48">
        <f t="shared" ref="A53:A59" si="4">A52+1</f>
        <v>3</v>
      </c>
      <c r="B53" s="49" t="s">
        <v>1</v>
      </c>
      <c r="C53" s="49" t="s">
        <v>8</v>
      </c>
      <c r="D53" s="50"/>
      <c r="E53" s="50">
        <f>'SPR Batch 2'!G34</f>
        <v>4.514060187469169E-2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25">
      <c r="A54" s="48">
        <f t="shared" si="4"/>
        <v>4</v>
      </c>
      <c r="B54" s="49" t="s">
        <v>1</v>
      </c>
      <c r="C54" s="49" t="s">
        <v>9</v>
      </c>
      <c r="D54" s="50"/>
      <c r="E54" s="50">
        <f>'SPR Batch 2'!G62</f>
        <v>9.4505197785879746E-3</v>
      </c>
      <c r="F54" s="50">
        <f>'SPR Batch 3 '!G80</f>
        <v>1.0544511668107407E-2</v>
      </c>
      <c r="G54" s="50">
        <f>'SPR Batch 4 '!G83</f>
        <v>9.2708594337257127E-3</v>
      </c>
      <c r="H54" s="50">
        <f>'SPR Batch 5'!H80</f>
        <v>1.0569028970463381E-2</v>
      </c>
      <c r="I54" s="50">
        <f>'SPR Batch6'!H96</f>
        <v>1.4442605686775755E-2</v>
      </c>
      <c r="J54" s="50"/>
      <c r="K54" s="50">
        <f>'SPR Batch8'!H73</f>
        <v>1.3232514177694084E-3</v>
      </c>
      <c r="L54" s="50"/>
      <c r="M54" s="50">
        <f>'SPR Batch10'!H52</f>
        <v>9.1383812010444182E-3</v>
      </c>
      <c r="N54" s="50"/>
      <c r="O54" s="50">
        <f>'SPR Batch12'!H104</f>
        <v>2.4270505819404425E-3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25">
      <c r="A55" s="48">
        <f t="shared" si="4"/>
        <v>5</v>
      </c>
      <c r="B55" s="49" t="s">
        <v>1</v>
      </c>
      <c r="C55" s="49" t="s">
        <v>10</v>
      </c>
      <c r="D55" s="50"/>
      <c r="E55" s="50">
        <f>'SPR Batch 2'!G113</f>
        <v>2.7124773960216998E-2</v>
      </c>
      <c r="F55" s="50">
        <f>'SPR Batch 3 '!G43</f>
        <v>1.8745785569790938E-2</v>
      </c>
      <c r="G55" s="50"/>
      <c r="H55" s="50"/>
      <c r="I55" s="50"/>
      <c r="J55" s="50"/>
      <c r="K55" s="50"/>
      <c r="L55" s="50"/>
      <c r="M55" s="50"/>
      <c r="N55" s="50">
        <f>'SPR Batch11'!H104</f>
        <v>1.0158377001668582E-2</v>
      </c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25">
      <c r="A56" s="48">
        <f t="shared" si="4"/>
        <v>6</v>
      </c>
      <c r="B56" s="49" t="s">
        <v>1</v>
      </c>
      <c r="C56" s="49" t="s">
        <v>11</v>
      </c>
      <c r="D56" s="50"/>
      <c r="E56" s="50">
        <f>'SPR Batch 2'!G93</f>
        <v>1.5700316760776566E-2</v>
      </c>
      <c r="F56" s="50">
        <f>'SPR Batch 3 '!G124</f>
        <v>1.0924554586113747E-2</v>
      </c>
      <c r="G56" s="50">
        <f>'SPR Batch 4 '!G52</f>
        <v>7.630939993062546E-3</v>
      </c>
      <c r="H56" s="50">
        <f>'SPR Batch 5'!H44</f>
        <v>1.1080890500654883E-2</v>
      </c>
      <c r="I56" s="50"/>
      <c r="J56" s="50"/>
      <c r="K56" s="50">
        <f>'SPR Batch8'!H48</f>
        <v>1.2659432705120819E-2</v>
      </c>
      <c r="L56" s="50">
        <f>'SPR Batch9'!H54</f>
        <v>-8.9176161262050968E-2</v>
      </c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>
        <f>'SPR Batch23'!H80</f>
        <v>3.8928118776026389E-3</v>
      </c>
      <c r="AA56" s="50"/>
      <c r="AB56" s="50"/>
      <c r="AC56" s="50"/>
      <c r="AD56" s="50"/>
    </row>
    <row r="57" spans="1:30" x14ac:dyDescent="0.25">
      <c r="A57" s="48">
        <f t="shared" si="4"/>
        <v>7</v>
      </c>
      <c r="B57" s="49" t="s">
        <v>1</v>
      </c>
      <c r="C57" s="49" t="s">
        <v>102</v>
      </c>
      <c r="D57" s="50"/>
      <c r="E57" s="50">
        <f>'SPR Batch 2'!G135</f>
        <v>2.098746791484235E-2</v>
      </c>
      <c r="F57" s="50"/>
      <c r="G57" s="50">
        <f>'SPR Batch 4 '!G136</f>
        <v>1.9358741681790616E-2</v>
      </c>
      <c r="H57" s="50">
        <f>'SPR Batch 5'!H111</f>
        <v>1.4548981571290196E-2</v>
      </c>
      <c r="I57" s="50"/>
      <c r="J57" s="50"/>
      <c r="K57" s="50">
        <f>'SPR Batch8'!H97</f>
        <v>9.5987713572655547E-4</v>
      </c>
      <c r="L57" s="50">
        <f>'SPR Batch9'!N123</f>
        <v>5.8965571850125792E-3</v>
      </c>
      <c r="M57" s="50"/>
      <c r="N57" s="50"/>
      <c r="O57" s="50"/>
      <c r="P57" s="50"/>
      <c r="Q57" s="50"/>
      <c r="R57" s="50"/>
      <c r="S57" s="50"/>
      <c r="T57" s="50">
        <f>'SPR Batch17'!H106</f>
        <v>1.1239463003433687E-3</v>
      </c>
      <c r="U57" s="50">
        <f>'SPR Batch18'!H189</f>
        <v>1.1648706426421341E-2</v>
      </c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25">
      <c r="A58" s="48">
        <f t="shared" si="4"/>
        <v>8</v>
      </c>
      <c r="B58" s="49" t="s">
        <v>1</v>
      </c>
      <c r="C58" s="49" t="s">
        <v>13</v>
      </c>
      <c r="D58" s="50"/>
      <c r="E58" s="50">
        <v>2.7298850574712322E-3</v>
      </c>
      <c r="F58" s="50">
        <f>'SPR Batch 3 '!G144</f>
        <v>1.0381114903299141E-2</v>
      </c>
      <c r="G58" s="50">
        <f>'SPR Batch 4 '!G112</f>
        <v>3.2362459546928322E-3</v>
      </c>
      <c r="H58" s="50"/>
      <c r="I58" s="50">
        <f>'SPR Batch6'!H114</f>
        <v>1.211922698984607E-2</v>
      </c>
      <c r="J58" s="50">
        <f>'SPR Batch 7'!H144</f>
        <v>7.8749999999999567E-3</v>
      </c>
      <c r="K58" s="50">
        <f>'SPR Batch8'!H114</f>
        <v>1.3722126929674141E-2</v>
      </c>
      <c r="L58" s="50">
        <f>'SPR Batch9'!H76</f>
        <v>1.4509637788604179E-2</v>
      </c>
      <c r="M58" s="50">
        <f>'SPR Batch10'!H72</f>
        <v>1.6578339448294423E-2</v>
      </c>
      <c r="N58" s="50"/>
      <c r="O58" s="50"/>
      <c r="P58" s="50"/>
      <c r="Q58" s="50">
        <f>'SPR Batch14'!H32</f>
        <v>1.2160173495469086E-2</v>
      </c>
      <c r="R58" s="50">
        <f>'SPR Batch15'!H33</f>
        <v>1.5318200807687015E-2</v>
      </c>
      <c r="S58" s="50"/>
      <c r="T58" s="50"/>
      <c r="U58" s="50"/>
      <c r="V58" s="50"/>
      <c r="W58" s="50">
        <f>'SPR Batch20'!H31</f>
        <v>1.6524908869987896E-2</v>
      </c>
      <c r="X58" s="50"/>
      <c r="Y58" s="50">
        <f>'SPR Batch22'!H31</f>
        <v>1.2465263993648442E-2</v>
      </c>
      <c r="Z58" s="50"/>
      <c r="AA58" s="50"/>
      <c r="AB58" s="50"/>
      <c r="AC58" s="50"/>
      <c r="AD58" s="50"/>
    </row>
    <row r="59" spans="1:30" x14ac:dyDescent="0.25">
      <c r="A59" s="48">
        <f t="shared" si="4"/>
        <v>9</v>
      </c>
      <c r="B59" s="49" t="s">
        <v>1</v>
      </c>
      <c r="C59" s="49" t="s">
        <v>101</v>
      </c>
      <c r="D59" s="50"/>
      <c r="E59" s="50"/>
      <c r="F59" s="50"/>
      <c r="G59" s="50">
        <f>'SPR Batch 4 '!G160</f>
        <v>1.0607915136678884E-2</v>
      </c>
      <c r="H59" s="50"/>
      <c r="I59" s="50">
        <f>'SPR Batch6'!H54</f>
        <v>1.0216623137194602E-2</v>
      </c>
      <c r="J59" s="50">
        <f>'SPR Batch 7'!H66</f>
        <v>2.0258431887864234E-3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>
        <f>'SPR Batch21'!H62</f>
        <v>3.1969958388307559E-3</v>
      </c>
      <c r="Y59" s="50"/>
      <c r="Z59" s="50"/>
      <c r="AA59" s="50"/>
      <c r="AB59" s="50"/>
      <c r="AC59" s="50"/>
      <c r="AD59" s="50"/>
    </row>
    <row r="60" spans="1:30" s="24" customFormat="1" x14ac:dyDescent="0.25">
      <c r="A60" s="45" t="s">
        <v>136</v>
      </c>
      <c r="E60" s="34"/>
      <c r="F60" s="34"/>
      <c r="G60" s="34"/>
      <c r="H60" s="34"/>
      <c r="I60" s="34"/>
      <c r="J60" s="34"/>
      <c r="S60" s="34"/>
      <c r="T60" s="34"/>
      <c r="U60" s="34"/>
      <c r="V60" s="34"/>
    </row>
    <row r="61" spans="1:30" s="24" customFormat="1" ht="12.75" customHeight="1" x14ac:dyDescent="0.25">
      <c r="A61" s="41"/>
      <c r="B61" s="42" t="s">
        <v>175</v>
      </c>
      <c r="E61" s="34"/>
      <c r="F61" s="34"/>
      <c r="G61" s="34"/>
      <c r="H61" s="34"/>
      <c r="I61" s="34"/>
      <c r="J61" s="34"/>
      <c r="S61" s="34"/>
      <c r="T61" s="34"/>
      <c r="U61" s="34"/>
      <c r="V61" s="34"/>
    </row>
    <row r="62" spans="1:30" s="24" customFormat="1" ht="12.75" customHeight="1" x14ac:dyDescent="0.25">
      <c r="A62" s="43"/>
      <c r="B62" s="42" t="s">
        <v>176</v>
      </c>
      <c r="E62" s="34"/>
      <c r="F62" s="34"/>
      <c r="G62" s="34"/>
      <c r="H62" s="34"/>
      <c r="I62" s="34"/>
      <c r="J62" s="34"/>
      <c r="S62" s="34"/>
      <c r="T62" s="34"/>
      <c r="U62" s="34"/>
      <c r="V62" s="34"/>
    </row>
    <row r="63" spans="1:30" s="24" customFormat="1" ht="12.75" customHeight="1" x14ac:dyDescent="0.25">
      <c r="A63" s="44"/>
      <c r="B63" s="42" t="s">
        <v>177</v>
      </c>
      <c r="E63" s="34"/>
      <c r="F63" s="34"/>
      <c r="G63" s="34"/>
      <c r="H63" s="34"/>
      <c r="I63" s="34"/>
      <c r="J63" s="34"/>
      <c r="S63" s="34"/>
      <c r="T63" s="34"/>
      <c r="U63" s="34"/>
      <c r="V63" s="34"/>
    </row>
  </sheetData>
  <mergeCells count="4">
    <mergeCell ref="A1:R1"/>
    <mergeCell ref="A19:R19"/>
    <mergeCell ref="A34:R34"/>
    <mergeCell ref="A49:R49"/>
  </mergeCells>
  <phoneticPr fontId="7" type="noConversion"/>
  <conditionalFormatting sqref="D3:D4 J3:K3 P4 S4 V4 E5 E6:I6 K6 O6 E7:F7 N7 E8:H8 K8:L9 E9 G9:H9 T9:U9 E10:G10 I10:M10 Q10:R10 W10 Y10 G11 I11:J11 X11">
    <cfRule type="cellIs" dxfId="134" priority="80" stopIfTrue="1" operator="lessThan">
      <formula>0.65</formula>
    </cfRule>
  </conditionalFormatting>
  <conditionalFormatting sqref="D3:D4">
    <cfRule type="cellIs" priority="43" stopIfTrue="1" operator="equal">
      <formula>0</formula>
    </cfRule>
  </conditionalFormatting>
  <conditionalFormatting sqref="D21:D22 P22 E23 E24:I24 E25:F25 N25 E26:H26 E27 G27:H27 T27:U27 E28:G28 Q28:R28 I28:J29 G29">
    <cfRule type="cellIs" dxfId="133" priority="204" stopIfTrue="1" operator="lessThan">
      <formula>0.27</formula>
    </cfRule>
    <cfRule type="cellIs" dxfId="132" priority="203" stopIfTrue="1" operator="greaterThan">
      <formula>0.3</formula>
    </cfRule>
    <cfRule type="cellIs" dxfId="131" priority="202" stopIfTrue="1" operator="between">
      <formula>0.27</formula>
      <formula>0.3</formula>
    </cfRule>
  </conditionalFormatting>
  <conditionalFormatting sqref="E2:F2 H2:AD2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F20 H20:N20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:F35 H35:N35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F50 H50:N50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6 D36:D37 E38 E39:I39 E40:F40 N40 E41:H41 L41 E42 G42:H42 E43:G43 I43:J44 G44">
    <cfRule type="cellIs" dxfId="130" priority="252" stopIfTrue="1" operator="lessThan">
      <formula>0.02</formula>
    </cfRule>
    <cfRule type="cellIs" dxfId="129" priority="251" stopIfTrue="1" operator="between">
      <formula>0.02</formula>
      <formula>0.025</formula>
    </cfRule>
    <cfRule type="cellIs" dxfId="128" priority="250" stopIfTrue="1" operator="greaterThan">
      <formula>0.025</formula>
    </cfRule>
  </conditionalFormatting>
  <conditionalFormatting sqref="J3:K3 D3:D4 P4 S4 V4 E5 E6:I6 K6 O6 E7:F7 N7 E8:H8 K8:L9 E9 G9:H9 T9:U9 E10:G10 I10:M10 Q10:R10 W10 Y10 G11 I11:J11 X11">
    <cfRule type="cellIs" dxfId="127" priority="82" stopIfTrue="1" operator="greaterThan">
      <formula>0.7</formula>
    </cfRule>
    <cfRule type="cellIs" dxfId="126" priority="81" stopIfTrue="1" operator="between">
      <formula>0.65</formula>
      <formula>0.7</formula>
    </cfRule>
  </conditionalFormatting>
  <conditionalFormatting sqref="J21:K21 K24 K26:L28">
    <cfRule type="cellIs" dxfId="125" priority="166" stopIfTrue="1" operator="between">
      <formula>0.3</formula>
      <formula>0.35</formula>
    </cfRule>
    <cfRule type="cellIs" dxfId="124" priority="167" stopIfTrue="1" operator="greaterThan">
      <formula>0.35</formula>
    </cfRule>
    <cfRule type="cellIs" dxfId="123" priority="168" stopIfTrue="1" operator="lessThan">
      <formula>0.3</formula>
    </cfRule>
  </conditionalFormatting>
  <conditionalFormatting sqref="J51:K51 D51:D52 E53 E54:I54 K54 E55:F55 N55 E56:H56 K56:L57 E57 G57:H57 E58:G58 I58:M58 G59 I59:J59">
    <cfRule type="cellIs" dxfId="122" priority="234" stopIfTrue="1" operator="lessThan">
      <formula>0.015</formula>
    </cfRule>
    <cfRule type="cellIs" dxfId="121" priority="233" stopIfTrue="1" operator="between">
      <formula>0.015</formula>
      <formula>0.02</formula>
    </cfRule>
    <cfRule type="cellIs" dxfId="120" priority="232" stopIfTrue="1" operator="greaterThan">
      <formula>0.02</formula>
    </cfRule>
  </conditionalFormatting>
  <conditionalFormatting sqref="K36 K39 K41:K43">
    <cfRule type="cellIs" dxfId="119" priority="189" stopIfTrue="1" operator="between">
      <formula>0</formula>
      <formula>0.02</formula>
    </cfRule>
    <cfRule type="cellIs" dxfId="118" priority="188" stopIfTrue="1" operator="between">
      <formula>0.02</formula>
      <formula>0.03</formula>
    </cfRule>
    <cfRule type="cellIs" dxfId="117" priority="187" stopIfTrue="1" operator="between">
      <formula>0.03</formula>
      <formula>0.07</formula>
    </cfRule>
  </conditionalFormatting>
  <conditionalFormatting sqref="L42:L43">
    <cfRule type="cellIs" dxfId="116" priority="181" stopIfTrue="1" operator="between">
      <formula>0.03</formula>
      <formula>0.07</formula>
    </cfRule>
    <cfRule type="cellIs" dxfId="115" priority="183" stopIfTrue="1" operator="between">
      <formula>0</formula>
      <formula>0.02</formula>
    </cfRule>
    <cfRule type="cellIs" dxfId="114" priority="182" stopIfTrue="1" operator="between">
      <formula>0.02</formula>
      <formula>0.03</formula>
    </cfRule>
  </conditionalFormatting>
  <conditionalFormatting sqref="M6">
    <cfRule type="cellIs" dxfId="113" priority="28" stopIfTrue="1" operator="lessThan">
      <formula>0.65</formula>
    </cfRule>
    <cfRule type="cellIs" dxfId="112" priority="29" stopIfTrue="1" operator="between">
      <formula>0.65</formula>
      <formula>0.7</formula>
    </cfRule>
    <cfRule type="cellIs" dxfId="111" priority="30" stopIfTrue="1" operator="greaterThan">
      <formula>0.7</formula>
    </cfRule>
  </conditionalFormatting>
  <conditionalFormatting sqref="M24">
    <cfRule type="cellIs" dxfId="110" priority="25" stopIfTrue="1" operator="between">
      <formula>0.27</formula>
      <formula>0.3</formula>
    </cfRule>
    <cfRule type="cellIs" dxfId="109" priority="26" stopIfTrue="1" operator="greaterThan">
      <formula>0.3</formula>
    </cfRule>
    <cfRule type="cellIs" dxfId="108" priority="27" stopIfTrue="1" operator="lessThan">
      <formula>0.27</formula>
    </cfRule>
  </conditionalFormatting>
  <conditionalFormatting sqref="M28">
    <cfRule type="cellIs" dxfId="107" priority="68" stopIfTrue="1" operator="between">
      <formula>0.3</formula>
      <formula>0.35</formula>
    </cfRule>
    <cfRule type="cellIs" dxfId="106" priority="70" stopIfTrue="1" operator="lessThan">
      <formula>0.3</formula>
    </cfRule>
    <cfRule type="cellIs" dxfId="105" priority="69" stopIfTrue="1" operator="greaterThan">
      <formula>0.35</formula>
    </cfRule>
  </conditionalFormatting>
  <conditionalFormatting sqref="M39">
    <cfRule type="cellIs" dxfId="104" priority="22" stopIfTrue="1" operator="between">
      <formula>0.03</formula>
      <formula>0.07</formula>
    </cfRule>
    <cfRule type="cellIs" dxfId="103" priority="23" stopIfTrue="1" operator="between">
      <formula>0.02</formula>
      <formula>0.03</formula>
    </cfRule>
    <cfRule type="cellIs" dxfId="102" priority="24" stopIfTrue="1" operator="between">
      <formula>0</formula>
      <formula>0.02</formula>
    </cfRule>
  </conditionalFormatting>
  <conditionalFormatting sqref="M43">
    <cfRule type="cellIs" dxfId="101" priority="67" stopIfTrue="1" operator="between">
      <formula>0</formula>
      <formula>0.02</formula>
    </cfRule>
    <cfRule type="cellIs" dxfId="100" priority="65" stopIfTrue="1" operator="between">
      <formula>0.03</formula>
      <formula>0.07</formula>
    </cfRule>
    <cfRule type="cellIs" dxfId="99" priority="66" stopIfTrue="1" operator="between">
      <formula>0.02</formula>
      <formula>0.03</formula>
    </cfRule>
  </conditionalFormatting>
  <conditionalFormatting sqref="M54">
    <cfRule type="cellIs" dxfId="98" priority="19" stopIfTrue="1" operator="greaterThan">
      <formula>0.02</formula>
    </cfRule>
    <cfRule type="cellIs" dxfId="97" priority="20" stopIfTrue="1" operator="between">
      <formula>0.015</formula>
      <formula>0.02</formula>
    </cfRule>
    <cfRule type="cellIs" dxfId="96" priority="21" stopIfTrue="1" operator="lessThan">
      <formula>0.015</formula>
    </cfRule>
  </conditionalFormatting>
  <conditionalFormatting sqref="O24">
    <cfRule type="cellIs" dxfId="95" priority="165" stopIfTrue="1" operator="lessThan">
      <formula>0.3</formula>
    </cfRule>
    <cfRule type="cellIs" dxfId="94" priority="164" stopIfTrue="1" operator="greaterThan">
      <formula>0.35</formula>
    </cfRule>
    <cfRule type="cellIs" dxfId="93" priority="163" stopIfTrue="1" operator="between">
      <formula>0.3</formula>
      <formula>0.35</formula>
    </cfRule>
  </conditionalFormatting>
  <conditionalFormatting sqref="O39">
    <cfRule type="cellIs" dxfId="92" priority="161" stopIfTrue="1" operator="between">
      <formula>0.02</formula>
      <formula>0.03</formula>
    </cfRule>
    <cfRule type="cellIs" dxfId="91" priority="162" stopIfTrue="1" operator="between">
      <formula>0</formula>
      <formula>0.02</formula>
    </cfRule>
    <cfRule type="cellIs" dxfId="90" priority="160" stopIfTrue="1" operator="between">
      <formula>0.03</formula>
      <formula>0.07</formula>
    </cfRule>
  </conditionalFormatting>
  <conditionalFormatting sqref="O54">
    <cfRule type="cellIs" dxfId="89" priority="157" stopIfTrue="1" operator="between">
      <formula>0.03</formula>
      <formula>0.07</formula>
    </cfRule>
    <cfRule type="cellIs" dxfId="88" priority="158" stopIfTrue="1" operator="between">
      <formula>0.02</formula>
      <formula>0.03</formula>
    </cfRule>
    <cfRule type="cellIs" dxfId="87" priority="159" stopIfTrue="1" operator="between">
      <formula>0</formula>
      <formula>0.02</formula>
    </cfRule>
  </conditionalFormatting>
  <conditionalFormatting sqref="O36:P36 O37 O38:P38 P39 O40:P44">
    <cfRule type="cellIs" dxfId="86" priority="214" stopIfTrue="1" operator="between">
      <formula>0.7</formula>
      <formula>0.99</formula>
    </cfRule>
    <cfRule type="cellIs" dxfId="85" priority="212" stopIfTrue="1" operator="between">
      <formula>0.4</formula>
      <formula>0.65</formula>
    </cfRule>
    <cfRule type="cellIs" dxfId="84" priority="213" stopIfTrue="1" operator="between">
      <formula>0.6</formula>
      <formula>0.7</formula>
    </cfRule>
  </conditionalFormatting>
  <conditionalFormatting sqref="O51:P51 O52 O53:P53 P54 O55:P59">
    <cfRule type="cellIs" dxfId="83" priority="210" stopIfTrue="1" operator="between">
      <formula>0.7</formula>
      <formula>0.99</formula>
    </cfRule>
    <cfRule type="cellIs" dxfId="82" priority="209" stopIfTrue="1" operator="between">
      <formula>0.6</formula>
      <formula>0.7</formula>
    </cfRule>
    <cfRule type="cellIs" dxfId="81" priority="208" stopIfTrue="1" operator="between">
      <formula>0.4</formula>
      <formula>0.65</formula>
    </cfRule>
  </conditionalFormatting>
  <conditionalFormatting sqref="O20:AD20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5:AD35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0:AD50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7">
    <cfRule type="cellIs" dxfId="80" priority="195" stopIfTrue="1" operator="between">
      <formula>0</formula>
      <formula>0.02</formula>
    </cfRule>
    <cfRule type="cellIs" dxfId="79" priority="194" stopIfTrue="1" operator="between">
      <formula>0.02</formula>
      <formula>0.03</formula>
    </cfRule>
    <cfRule type="cellIs" dxfId="78" priority="193" stopIfTrue="1" operator="between">
      <formula>0.025</formula>
      <formula>0.07</formula>
    </cfRule>
  </conditionalFormatting>
  <conditionalFormatting sqref="P52">
    <cfRule type="cellIs" dxfId="77" priority="198" stopIfTrue="1" operator="between">
      <formula>0</formula>
      <formula>0.02</formula>
    </cfRule>
    <cfRule type="cellIs" dxfId="76" priority="196" stopIfTrue="1" operator="between">
      <formula>0.03</formula>
      <formula>0.07</formula>
    </cfRule>
    <cfRule type="cellIs" dxfId="75" priority="197" stopIfTrue="1" operator="between">
      <formula>0.02</formula>
      <formula>0.03</formula>
    </cfRule>
  </conditionalFormatting>
  <conditionalFormatting sqref="Q43:R43">
    <cfRule type="cellIs" dxfId="74" priority="176" stopIfTrue="1" operator="between">
      <formula>0.02</formula>
      <formula>0.03</formula>
    </cfRule>
    <cfRule type="cellIs" dxfId="73" priority="175" stopIfTrue="1" operator="between">
      <formula>0.03</formula>
      <formula>0.07</formula>
    </cfRule>
    <cfRule type="cellIs" dxfId="72" priority="177" stopIfTrue="1" operator="between">
      <formula>0</formula>
      <formula>0.02</formula>
    </cfRule>
  </conditionalFormatting>
  <conditionalFormatting sqref="Q58:R58">
    <cfRule type="cellIs" dxfId="71" priority="172" stopIfTrue="1" operator="between">
      <formula>0.03</formula>
      <formula>0.07</formula>
    </cfRule>
    <cfRule type="cellIs" dxfId="70" priority="173" stopIfTrue="1" operator="between">
      <formula>0.02</formula>
      <formula>0.03</formula>
    </cfRule>
    <cfRule type="cellIs" dxfId="69" priority="174" stopIfTrue="1" operator="between">
      <formula>0</formula>
      <formula>0.02</formula>
    </cfRule>
  </conditionalFormatting>
  <conditionalFormatting sqref="R20 T20 V20 X20 Z20 AB20 AD20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">
    <cfRule type="cellIs" dxfId="68" priority="95" stopIfTrue="1" operator="between">
      <formula>0.3</formula>
      <formula>0.35</formula>
    </cfRule>
    <cfRule type="cellIs" dxfId="67" priority="96" stopIfTrue="1" operator="greaterThan">
      <formula>0.35</formula>
    </cfRule>
    <cfRule type="cellIs" dxfId="66" priority="97" stopIfTrue="1" operator="lessThan">
      <formula>0.3</formula>
    </cfRule>
  </conditionalFormatting>
  <conditionalFormatting sqref="S37 T42:U42">
    <cfRule type="cellIs" dxfId="65" priority="149" stopIfTrue="1" operator="between">
      <formula>0.02</formula>
      <formula>0.03</formula>
    </cfRule>
    <cfRule type="cellIs" dxfId="64" priority="150" stopIfTrue="1" operator="between">
      <formula>0</formula>
      <formula>0.02</formula>
    </cfRule>
    <cfRule type="cellIs" dxfId="63" priority="148" stopIfTrue="1" operator="between">
      <formula>0.03</formula>
      <formula>0.07</formula>
    </cfRule>
  </conditionalFormatting>
  <conditionalFormatting sqref="S52 T57:U57">
    <cfRule type="cellIs" dxfId="62" priority="146" stopIfTrue="1" operator="between">
      <formula>0</formula>
      <formula>0.02</formula>
    </cfRule>
    <cfRule type="cellIs" dxfId="61" priority="145" stopIfTrue="1" operator="between">
      <formula>0.02</formula>
      <formula>0.03</formula>
    </cfRule>
    <cfRule type="cellIs" dxfId="60" priority="144" stopIfTrue="1" operator="between">
      <formula>0.03</formula>
      <formula>0.07</formula>
    </cfRule>
  </conditionalFormatting>
  <conditionalFormatting sqref="V22">
    <cfRule type="cellIs" dxfId="59" priority="89" stopIfTrue="1" operator="between">
      <formula>0.3</formula>
      <formula>0.35</formula>
    </cfRule>
    <cfRule type="cellIs" dxfId="58" priority="90" stopIfTrue="1" operator="greaterThan">
      <formula>0.35</formula>
    </cfRule>
    <cfRule type="cellIs" dxfId="57" priority="91" stopIfTrue="1" operator="lessThan">
      <formula>0.3</formula>
    </cfRule>
  </conditionalFormatting>
  <conditionalFormatting sqref="V37">
    <cfRule type="cellIs" dxfId="56" priority="38" stopIfTrue="1" operator="between">
      <formula>0.02</formula>
      <formula>0.025</formula>
    </cfRule>
    <cfRule type="cellIs" dxfId="55" priority="39" stopIfTrue="1" operator="lessThan">
      <formula>0.02</formula>
    </cfRule>
    <cfRule type="cellIs" dxfId="54" priority="37" stopIfTrue="1" operator="greaterThan">
      <formula>0.025</formula>
    </cfRule>
  </conditionalFormatting>
  <conditionalFormatting sqref="V52">
    <cfRule type="cellIs" dxfId="53" priority="85" stopIfTrue="1" operator="between">
      <formula>0</formula>
      <formula>0.02</formula>
    </cfRule>
    <cfRule type="cellIs" dxfId="52" priority="83" stopIfTrue="1" operator="between">
      <formula>0.03</formula>
      <formula>0.07</formula>
    </cfRule>
    <cfRule type="cellIs" dxfId="51" priority="84" stopIfTrue="1" operator="between">
      <formula>0.02</formula>
      <formula>0.03</formula>
    </cfRule>
  </conditionalFormatting>
  <conditionalFormatting sqref="W28">
    <cfRule type="cellIs" dxfId="50" priority="79" stopIfTrue="1" operator="lessThan">
      <formula>0.3</formula>
    </cfRule>
    <cfRule type="cellIs" dxfId="49" priority="78" stopIfTrue="1" operator="greaterThan">
      <formula>0.35</formula>
    </cfRule>
    <cfRule type="cellIs" dxfId="48" priority="77" stopIfTrue="1" operator="between">
      <formula>0.3</formula>
      <formula>0.35</formula>
    </cfRule>
  </conditionalFormatting>
  <conditionalFormatting sqref="W43">
    <cfRule type="cellIs" dxfId="47" priority="76" stopIfTrue="1" operator="between">
      <formula>0</formula>
      <formula>0.02</formula>
    </cfRule>
    <cfRule type="cellIs" dxfId="46" priority="75" stopIfTrue="1" operator="between">
      <formula>0.02</formula>
      <formula>0.03</formula>
    </cfRule>
    <cfRule type="cellIs" dxfId="45" priority="74" stopIfTrue="1" operator="between">
      <formula>0.03</formula>
      <formula>0.07</formula>
    </cfRule>
  </conditionalFormatting>
  <conditionalFormatting sqref="W58">
    <cfRule type="cellIs" dxfId="44" priority="73" stopIfTrue="1" operator="between">
      <formula>0</formula>
      <formula>0.02</formula>
    </cfRule>
    <cfRule type="cellIs" dxfId="43" priority="71" stopIfTrue="1" operator="between">
      <formula>0.03</formula>
      <formula>0.07</formula>
    </cfRule>
    <cfRule type="cellIs" dxfId="42" priority="72" stopIfTrue="1" operator="between">
      <formula>0.02</formula>
      <formula>0.03</formula>
    </cfRule>
  </conditionalFormatting>
  <conditionalFormatting sqref="X29">
    <cfRule type="cellIs" dxfId="41" priority="60" stopIfTrue="1" operator="greaterThan">
      <formula>0.35</formula>
    </cfRule>
    <cfRule type="cellIs" dxfId="40" priority="59" stopIfTrue="1" operator="between">
      <formula>0.3</formula>
      <formula>0.35</formula>
    </cfRule>
    <cfRule type="cellIs" dxfId="39" priority="61" stopIfTrue="1" operator="lessThan">
      <formula>0.3</formula>
    </cfRule>
  </conditionalFormatting>
  <conditionalFormatting sqref="X44">
    <cfRule type="cellIs" dxfId="38" priority="56" stopIfTrue="1" operator="between">
      <formula>0.03</formula>
      <formula>0.07</formula>
    </cfRule>
    <cfRule type="cellIs" dxfId="37" priority="58" stopIfTrue="1" operator="between">
      <formula>0</formula>
      <formula>0.02</formula>
    </cfRule>
    <cfRule type="cellIs" dxfId="36" priority="57" stopIfTrue="1" operator="between">
      <formula>0.02</formula>
      <formula>0.03</formula>
    </cfRule>
  </conditionalFormatting>
  <conditionalFormatting sqref="X59">
    <cfRule type="cellIs" dxfId="35" priority="54" stopIfTrue="1" operator="between">
      <formula>0.02</formula>
      <formula>0.03</formula>
    </cfRule>
    <cfRule type="cellIs" dxfId="34" priority="55" stopIfTrue="1" operator="between">
      <formula>0</formula>
      <formula>0.02</formula>
    </cfRule>
    <cfRule type="cellIs" dxfId="33" priority="53" stopIfTrue="1" operator="between">
      <formula>0.03</formula>
      <formula>0.07</formula>
    </cfRule>
  </conditionalFormatting>
  <conditionalFormatting sqref="Y28">
    <cfRule type="cellIs" dxfId="32" priority="52" stopIfTrue="1" operator="lessThan">
      <formula>0.3</formula>
    </cfRule>
    <cfRule type="cellIs" dxfId="31" priority="51" stopIfTrue="1" operator="greaterThan">
      <formula>0.35</formula>
    </cfRule>
    <cfRule type="cellIs" dxfId="30" priority="50" stopIfTrue="1" operator="between">
      <formula>0.3</formula>
      <formula>0.35</formula>
    </cfRule>
  </conditionalFormatting>
  <conditionalFormatting sqref="Y43">
    <cfRule type="cellIs" dxfId="29" priority="35" stopIfTrue="1" operator="between">
      <formula>0.02</formula>
      <formula>0.025</formula>
    </cfRule>
    <cfRule type="cellIs" dxfId="28" priority="34" stopIfTrue="1" operator="greaterThan">
      <formula>0.025</formula>
    </cfRule>
    <cfRule type="cellIs" dxfId="27" priority="36" stopIfTrue="1" operator="lessThan">
      <formula>0.02</formula>
    </cfRule>
  </conditionalFormatting>
  <conditionalFormatting sqref="Y58">
    <cfRule type="cellIs" dxfId="26" priority="42" stopIfTrue="1" operator="lessThan">
      <formula>0.015</formula>
    </cfRule>
    <cfRule type="cellIs" dxfId="25" priority="41" stopIfTrue="1" operator="between">
      <formula>0.015</formula>
      <formula>0.02</formula>
    </cfRule>
    <cfRule type="cellIs" dxfId="24" priority="40" stopIfTrue="1" operator="greaterThan">
      <formula>0.02</formula>
    </cfRule>
  </conditionalFormatting>
  <conditionalFormatting sqref="Z8">
    <cfRule type="cellIs" dxfId="23" priority="18" stopIfTrue="1" operator="greaterThan">
      <formula>0.7</formula>
    </cfRule>
    <cfRule type="cellIs" dxfId="22" priority="17" stopIfTrue="1" operator="between">
      <formula>0.65</formula>
      <formula>0.7</formula>
    </cfRule>
    <cfRule type="cellIs" dxfId="21" priority="16" stopIfTrue="1" operator="lessThan">
      <formula>0.65</formula>
    </cfRule>
  </conditionalFormatting>
  <conditionalFormatting sqref="Z26">
    <cfRule type="cellIs" dxfId="20" priority="15" stopIfTrue="1" operator="lessThan">
      <formula>0.27</formula>
    </cfRule>
    <cfRule type="cellIs" dxfId="19" priority="14" stopIfTrue="1" operator="greaterThan">
      <formula>0.3</formula>
    </cfRule>
    <cfRule type="cellIs" dxfId="18" priority="13" stopIfTrue="1" operator="between">
      <formula>0.27</formula>
      <formula>0.3</formula>
    </cfRule>
  </conditionalFormatting>
  <conditionalFormatting sqref="Z41">
    <cfRule type="cellIs" dxfId="17" priority="10" stopIfTrue="1" operator="greaterThan">
      <formula>0.025</formula>
    </cfRule>
    <cfRule type="cellIs" dxfId="16" priority="11" stopIfTrue="1" operator="between">
      <formula>0.02</formula>
      <formula>0.025</formula>
    </cfRule>
    <cfRule type="cellIs" dxfId="15" priority="12" stopIfTrue="1" operator="lessThan">
      <formula>0.02</formula>
    </cfRule>
  </conditionalFormatting>
  <conditionalFormatting sqref="Z56">
    <cfRule type="cellIs" dxfId="14" priority="8" stopIfTrue="1" operator="between">
      <formula>0.015</formula>
      <formula>0.02</formula>
    </cfRule>
    <cfRule type="cellIs" dxfId="13" priority="9" stopIfTrue="1" operator="lessThan">
      <formula>0.015</formula>
    </cfRule>
    <cfRule type="cellIs" dxfId="12" priority="7" stopIfTrue="1" operator="greaterThan">
      <formula>0.02</formula>
    </cfRule>
  </conditionalFormatting>
  <conditionalFormatting sqref="AB6">
    <cfRule type="cellIs" dxfId="11" priority="4" stopIfTrue="1" operator="lessThan">
      <formula>0.65</formula>
    </cfRule>
    <cfRule type="cellIs" dxfId="10" priority="5" stopIfTrue="1" operator="between">
      <formula>0.65</formula>
      <formula>0.7</formula>
    </cfRule>
    <cfRule type="cellIs" dxfId="9" priority="6" stopIfTrue="1" operator="greaterThan">
      <formula>0.7</formula>
    </cfRule>
  </conditionalFormatting>
  <conditionalFormatting sqref="AB8">
    <cfRule type="cellIs" dxfId="8" priority="3" stopIfTrue="1" operator="greaterThan">
      <formula>0.7</formula>
    </cfRule>
    <cfRule type="cellIs" dxfId="7" priority="2" stopIfTrue="1" operator="between">
      <formula>0.65</formula>
      <formula>0.7</formula>
    </cfRule>
    <cfRule type="cellIs" dxfId="6" priority="1" stopIfTrue="1" operator="lessThan">
      <formula>0.65</formula>
    </cfRule>
  </conditionalFormatting>
  <printOptions horizontalCentered="1"/>
  <pageMargins left="0" right="0" top="0" bottom="0" header="0" footer="0"/>
  <pageSetup paperSize="20000" scale="68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4A3B-9453-48A1-894F-0AB447E0CF1A}">
  <sheetPr>
    <tabColor rgb="FF00B050"/>
  </sheetPr>
  <dimension ref="A1:O264"/>
  <sheetViews>
    <sheetView showGridLines="0" topLeftCell="A103" workbookViewId="0">
      <selection activeCell="A6" sqref="A6:I9"/>
    </sheetView>
  </sheetViews>
  <sheetFormatPr defaultRowHeight="15" x14ac:dyDescent="0.25"/>
  <cols>
    <col min="1" max="1" width="14.85546875" customWidth="1"/>
    <col min="2" max="2" width="9.7109375" customWidth="1"/>
    <col min="3" max="3" width="10.85546875" customWidth="1"/>
    <col min="4" max="4" width="10.7109375" bestFit="1" customWidth="1"/>
    <col min="5" max="5" width="9.42578125" style="3" customWidth="1"/>
    <col min="6" max="6" width="10.28515625" customWidth="1"/>
    <col min="7" max="7" width="10.5703125" bestFit="1" customWidth="1"/>
    <col min="8" max="8" width="14.85546875" customWidth="1"/>
    <col min="9" max="9" width="13.42578125" customWidth="1"/>
    <col min="11" max="11" width="0" hidden="1" customWidth="1"/>
    <col min="12" max="14" width="0" style="4" hidden="1" customWidth="1"/>
    <col min="15" max="15" width="9.140625" style="4"/>
  </cols>
  <sheetData>
    <row r="1" spans="1:14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4" x14ac:dyDescent="0.25">
      <c r="A3" s="8" t="s">
        <v>63</v>
      </c>
    </row>
    <row r="4" spans="1:14" x14ac:dyDescent="0.25">
      <c r="A4" s="1" t="s">
        <v>0</v>
      </c>
      <c r="B4" t="s">
        <v>49</v>
      </c>
      <c r="H4" s="22" t="s">
        <v>58</v>
      </c>
      <c r="I4" s="21">
        <v>46190</v>
      </c>
    </row>
    <row r="5" spans="1:14" ht="4.5" customHeight="1" thickBot="1" x14ac:dyDescent="0.3"/>
    <row r="6" spans="1:14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</row>
    <row r="7" spans="1:14" ht="15.75" thickTop="1" x14ac:dyDescent="0.25">
      <c r="A7" s="5" t="s">
        <v>1</v>
      </c>
      <c r="B7" s="5" t="s">
        <v>83</v>
      </c>
      <c r="C7" s="4">
        <v>96</v>
      </c>
      <c r="D7" s="4" t="s">
        <v>22</v>
      </c>
      <c r="E7" s="15">
        <v>4156.3999999999996</v>
      </c>
      <c r="F7" s="15">
        <v>127.49999999999996</v>
      </c>
      <c r="G7" s="15">
        <f>E7-F7</f>
        <v>4028.8999999999996</v>
      </c>
      <c r="H7" s="6">
        <v>46177</v>
      </c>
      <c r="I7" s="6" t="s">
        <v>20</v>
      </c>
      <c r="K7">
        <v>4156.3999999999996</v>
      </c>
      <c r="L7" s="4">
        <v>96</v>
      </c>
      <c r="M7" s="4">
        <v>60</v>
      </c>
      <c r="N7" s="4">
        <v>36</v>
      </c>
    </row>
    <row r="8" spans="1:14" x14ac:dyDescent="0.25">
      <c r="A8" s="5" t="s">
        <v>1</v>
      </c>
      <c r="B8" s="5" t="s">
        <v>84</v>
      </c>
      <c r="C8" s="4">
        <v>127</v>
      </c>
      <c r="D8" s="4" t="s">
        <v>22</v>
      </c>
      <c r="E8" s="15">
        <v>6066.3999999999987</v>
      </c>
      <c r="F8" s="15">
        <v>153.39999999999998</v>
      </c>
      <c r="G8" s="15">
        <f t="shared" ref="G8" si="0">E8-F8</f>
        <v>5912.9999999999991</v>
      </c>
      <c r="H8" s="6">
        <v>46177</v>
      </c>
      <c r="I8" s="6" t="s">
        <v>20</v>
      </c>
      <c r="K8">
        <v>5752.6</v>
      </c>
      <c r="L8" s="4">
        <v>127</v>
      </c>
      <c r="M8" s="4">
        <v>131</v>
      </c>
    </row>
    <row r="9" spans="1:14" ht="4.5" customHeight="1" x14ac:dyDescent="0.25">
      <c r="C9" s="4"/>
    </row>
    <row r="10" spans="1:14" x14ac:dyDescent="0.25">
      <c r="A10" s="19" t="s">
        <v>16</v>
      </c>
    </row>
    <row r="11" spans="1:14" ht="10.5" customHeight="1" x14ac:dyDescent="0.25">
      <c r="A11" s="7" t="s">
        <v>105</v>
      </c>
    </row>
    <row r="12" spans="1:14" ht="12.75" customHeight="1" x14ac:dyDescent="0.25">
      <c r="A12" s="7" t="s">
        <v>106</v>
      </c>
    </row>
    <row r="13" spans="1:14" ht="5.25" customHeight="1" x14ac:dyDescent="0.25"/>
    <row r="14" spans="1:14" x14ac:dyDescent="0.25">
      <c r="A14" s="72" t="s">
        <v>28</v>
      </c>
      <c r="B14" s="72"/>
      <c r="C14" s="72"/>
      <c r="D14" s="72"/>
      <c r="E14" s="72"/>
      <c r="F14" s="72"/>
      <c r="G14" s="72"/>
      <c r="H14" s="72"/>
      <c r="I14" s="72"/>
    </row>
    <row r="15" spans="1:14" ht="18" customHeight="1" thickBot="1" x14ac:dyDescent="0.3">
      <c r="A15" s="1" t="s">
        <v>53</v>
      </c>
      <c r="B15" s="1" t="s">
        <v>85</v>
      </c>
      <c r="C15" s="1"/>
    </row>
    <row r="16" spans="1:14" ht="16.5" thickTop="1" thickBot="1" x14ac:dyDescent="0.3">
      <c r="A16" s="9" t="s">
        <v>7</v>
      </c>
      <c r="B16" s="9" t="s">
        <v>2</v>
      </c>
      <c r="C16" s="73" t="s">
        <v>6</v>
      </c>
      <c r="D16" s="73"/>
      <c r="E16" s="10" t="s">
        <v>25</v>
      </c>
      <c r="F16" s="10" t="s">
        <v>3</v>
      </c>
      <c r="G16" s="10" t="s">
        <v>4</v>
      </c>
      <c r="H16" s="10" t="s">
        <v>5</v>
      </c>
      <c r="I16" s="11" t="s">
        <v>26</v>
      </c>
    </row>
    <row r="17" spans="1:9" ht="15.75" thickTop="1" x14ac:dyDescent="0.25">
      <c r="A17" t="s">
        <v>23</v>
      </c>
      <c r="B17" t="s">
        <v>83</v>
      </c>
      <c r="C17" s="74" t="s">
        <v>22</v>
      </c>
      <c r="D17" s="74"/>
      <c r="E17" s="3">
        <v>1</v>
      </c>
      <c r="F17" s="15">
        <v>38.1</v>
      </c>
      <c r="G17" s="15">
        <v>1.1000000000000001</v>
      </c>
      <c r="H17" s="15">
        <f>F17-G17</f>
        <v>37</v>
      </c>
      <c r="I17" s="4" t="s">
        <v>20</v>
      </c>
    </row>
    <row r="18" spans="1:9" x14ac:dyDescent="0.25">
      <c r="A18" t="s">
        <v>23</v>
      </c>
      <c r="B18" t="s">
        <v>83</v>
      </c>
      <c r="C18" s="70" t="s">
        <v>22</v>
      </c>
      <c r="D18" s="70"/>
      <c r="E18" s="3">
        <f>E17+1</f>
        <v>2</v>
      </c>
      <c r="F18" s="15">
        <v>44.7</v>
      </c>
      <c r="G18" s="15">
        <v>1.1000000000000001</v>
      </c>
      <c r="H18" s="15">
        <f t="shared" ref="H18:H111" si="1">F18-G18</f>
        <v>43.6</v>
      </c>
      <c r="I18" s="4" t="s">
        <v>20</v>
      </c>
    </row>
    <row r="19" spans="1:9" x14ac:dyDescent="0.25">
      <c r="A19" t="s">
        <v>23</v>
      </c>
      <c r="B19" t="s">
        <v>83</v>
      </c>
      <c r="C19" s="70" t="s">
        <v>22</v>
      </c>
      <c r="D19" s="70"/>
      <c r="E19" s="3">
        <f t="shared" ref="E19:E112" si="2">E18+1</f>
        <v>3</v>
      </c>
      <c r="F19" s="15">
        <v>37.5</v>
      </c>
      <c r="G19" s="15">
        <v>1.1000000000000001</v>
      </c>
      <c r="H19" s="15">
        <f t="shared" si="1"/>
        <v>36.4</v>
      </c>
      <c r="I19" s="4" t="s">
        <v>20</v>
      </c>
    </row>
    <row r="20" spans="1:9" x14ac:dyDescent="0.25">
      <c r="A20" t="s">
        <v>23</v>
      </c>
      <c r="B20" t="s">
        <v>83</v>
      </c>
      <c r="C20" s="70" t="s">
        <v>22</v>
      </c>
      <c r="D20" s="70"/>
      <c r="E20" s="3">
        <f t="shared" si="2"/>
        <v>4</v>
      </c>
      <c r="F20" s="15">
        <v>43.2</v>
      </c>
      <c r="G20" s="15">
        <v>1.6</v>
      </c>
      <c r="H20" s="15">
        <f t="shared" si="1"/>
        <v>41.6</v>
      </c>
      <c r="I20" s="4" t="s">
        <v>20</v>
      </c>
    </row>
    <row r="21" spans="1:9" x14ac:dyDescent="0.25">
      <c r="A21" t="s">
        <v>23</v>
      </c>
      <c r="B21" t="s">
        <v>83</v>
      </c>
      <c r="C21" s="70" t="s">
        <v>22</v>
      </c>
      <c r="D21" s="70"/>
      <c r="E21" s="3">
        <f t="shared" si="2"/>
        <v>5</v>
      </c>
      <c r="F21" s="15">
        <v>40.700000000000003</v>
      </c>
      <c r="G21" s="15">
        <v>1.2</v>
      </c>
      <c r="H21" s="15">
        <f t="shared" si="1"/>
        <v>39.5</v>
      </c>
      <c r="I21" s="4" t="s">
        <v>20</v>
      </c>
    </row>
    <row r="22" spans="1:9" x14ac:dyDescent="0.25">
      <c r="A22" t="s">
        <v>23</v>
      </c>
      <c r="B22" t="s">
        <v>83</v>
      </c>
      <c r="C22" s="70" t="s">
        <v>22</v>
      </c>
      <c r="D22" s="70"/>
      <c r="E22" s="3">
        <f t="shared" si="2"/>
        <v>6</v>
      </c>
      <c r="F22" s="15">
        <v>44.2</v>
      </c>
      <c r="G22" s="15">
        <v>1.4</v>
      </c>
      <c r="H22" s="15">
        <f t="shared" si="1"/>
        <v>42.800000000000004</v>
      </c>
      <c r="I22" s="4" t="s">
        <v>20</v>
      </c>
    </row>
    <row r="23" spans="1:9" x14ac:dyDescent="0.25">
      <c r="A23" t="s">
        <v>23</v>
      </c>
      <c r="B23" t="s">
        <v>83</v>
      </c>
      <c r="C23" s="70" t="s">
        <v>22</v>
      </c>
      <c r="D23" s="70"/>
      <c r="E23" s="3">
        <f t="shared" si="2"/>
        <v>7</v>
      </c>
      <c r="F23" s="15">
        <v>40.4</v>
      </c>
      <c r="G23" s="15">
        <v>1.6</v>
      </c>
      <c r="H23" s="15">
        <f t="shared" si="1"/>
        <v>38.799999999999997</v>
      </c>
      <c r="I23" s="4" t="s">
        <v>20</v>
      </c>
    </row>
    <row r="24" spans="1:9" x14ac:dyDescent="0.25">
      <c r="A24" t="s">
        <v>23</v>
      </c>
      <c r="B24" t="s">
        <v>83</v>
      </c>
      <c r="C24" s="70" t="s">
        <v>22</v>
      </c>
      <c r="D24" s="70"/>
      <c r="E24" s="3">
        <f t="shared" si="2"/>
        <v>8</v>
      </c>
      <c r="F24" s="15">
        <v>38.299999999999997</v>
      </c>
      <c r="G24" s="15">
        <v>1.9</v>
      </c>
      <c r="H24" s="15">
        <f t="shared" si="1"/>
        <v>36.4</v>
      </c>
      <c r="I24" s="4" t="s">
        <v>20</v>
      </c>
    </row>
    <row r="25" spans="1:9" x14ac:dyDescent="0.25">
      <c r="A25" t="s">
        <v>23</v>
      </c>
      <c r="B25" t="s">
        <v>83</v>
      </c>
      <c r="C25" s="70" t="s">
        <v>22</v>
      </c>
      <c r="D25" s="70"/>
      <c r="E25" s="3">
        <f t="shared" si="2"/>
        <v>9</v>
      </c>
      <c r="F25" s="15">
        <v>43.6</v>
      </c>
      <c r="G25" s="15">
        <v>1.1000000000000001</v>
      </c>
      <c r="H25" s="15">
        <f t="shared" si="1"/>
        <v>42.5</v>
      </c>
      <c r="I25" s="4" t="s">
        <v>20</v>
      </c>
    </row>
    <row r="26" spans="1:9" x14ac:dyDescent="0.25">
      <c r="A26" t="s">
        <v>23</v>
      </c>
      <c r="B26" t="s">
        <v>83</v>
      </c>
      <c r="C26" s="70" t="s">
        <v>22</v>
      </c>
      <c r="D26" s="70"/>
      <c r="E26" s="3">
        <f t="shared" si="2"/>
        <v>10</v>
      </c>
      <c r="F26" s="15">
        <v>42.5</v>
      </c>
      <c r="G26" s="15">
        <v>2.1</v>
      </c>
      <c r="H26" s="15">
        <f t="shared" ref="H26:H73" si="3">F26-G26</f>
        <v>40.4</v>
      </c>
      <c r="I26" s="4" t="s">
        <v>20</v>
      </c>
    </row>
    <row r="27" spans="1:9" x14ac:dyDescent="0.25">
      <c r="A27" t="s">
        <v>23</v>
      </c>
      <c r="B27" t="s">
        <v>83</v>
      </c>
      <c r="C27" s="70" t="s">
        <v>22</v>
      </c>
      <c r="D27" s="70"/>
      <c r="E27" s="3">
        <f t="shared" si="2"/>
        <v>11</v>
      </c>
      <c r="F27" s="15">
        <v>44.5</v>
      </c>
      <c r="G27" s="15">
        <v>0.8</v>
      </c>
      <c r="H27" s="15">
        <f t="shared" si="3"/>
        <v>43.7</v>
      </c>
      <c r="I27" s="4" t="s">
        <v>20</v>
      </c>
    </row>
    <row r="28" spans="1:9" x14ac:dyDescent="0.25">
      <c r="A28" t="s">
        <v>23</v>
      </c>
      <c r="B28" t="s">
        <v>83</v>
      </c>
      <c r="C28" s="70" t="s">
        <v>22</v>
      </c>
      <c r="D28" s="70"/>
      <c r="E28" s="3">
        <f t="shared" si="2"/>
        <v>12</v>
      </c>
      <c r="F28" s="15">
        <v>42.5</v>
      </c>
      <c r="G28" s="15">
        <v>1.1000000000000001</v>
      </c>
      <c r="H28" s="15">
        <f t="shared" si="3"/>
        <v>41.4</v>
      </c>
      <c r="I28" s="4" t="s">
        <v>20</v>
      </c>
    </row>
    <row r="29" spans="1:9" x14ac:dyDescent="0.25">
      <c r="A29" t="s">
        <v>23</v>
      </c>
      <c r="B29" t="s">
        <v>83</v>
      </c>
      <c r="C29" s="70" t="s">
        <v>22</v>
      </c>
      <c r="D29" s="70"/>
      <c r="E29" s="3">
        <f t="shared" si="2"/>
        <v>13</v>
      </c>
      <c r="F29" s="15">
        <v>39.9</v>
      </c>
      <c r="G29" s="15">
        <v>1.3</v>
      </c>
      <c r="H29" s="15">
        <f t="shared" si="3"/>
        <v>38.6</v>
      </c>
      <c r="I29" s="4" t="s">
        <v>20</v>
      </c>
    </row>
    <row r="30" spans="1:9" x14ac:dyDescent="0.25">
      <c r="A30" t="s">
        <v>23</v>
      </c>
      <c r="B30" t="s">
        <v>83</v>
      </c>
      <c r="C30" s="70" t="s">
        <v>22</v>
      </c>
      <c r="D30" s="70"/>
      <c r="E30" s="3">
        <f t="shared" si="2"/>
        <v>14</v>
      </c>
      <c r="F30" s="15">
        <v>40.299999999999997</v>
      </c>
      <c r="G30" s="15">
        <v>1.7</v>
      </c>
      <c r="H30" s="15">
        <f t="shared" si="3"/>
        <v>38.599999999999994</v>
      </c>
      <c r="I30" s="4" t="s">
        <v>20</v>
      </c>
    </row>
    <row r="31" spans="1:9" x14ac:dyDescent="0.25">
      <c r="A31" t="s">
        <v>23</v>
      </c>
      <c r="B31" t="s">
        <v>83</v>
      </c>
      <c r="C31" s="70" t="s">
        <v>22</v>
      </c>
      <c r="D31" s="70"/>
      <c r="E31" s="3">
        <f t="shared" si="2"/>
        <v>15</v>
      </c>
      <c r="F31" s="15">
        <v>45.3</v>
      </c>
      <c r="G31" s="15">
        <v>1.9</v>
      </c>
      <c r="H31" s="15">
        <f t="shared" si="3"/>
        <v>43.4</v>
      </c>
      <c r="I31" s="4" t="s">
        <v>20</v>
      </c>
    </row>
    <row r="32" spans="1:9" x14ac:dyDescent="0.25">
      <c r="A32" t="s">
        <v>23</v>
      </c>
      <c r="B32" t="s">
        <v>83</v>
      </c>
      <c r="C32" s="70" t="s">
        <v>22</v>
      </c>
      <c r="D32" s="70"/>
      <c r="E32" s="3">
        <f t="shared" si="2"/>
        <v>16</v>
      </c>
      <c r="F32" s="15">
        <v>39.4</v>
      </c>
      <c r="G32" s="15">
        <v>1.1000000000000001</v>
      </c>
      <c r="H32" s="15">
        <f t="shared" si="3"/>
        <v>38.299999999999997</v>
      </c>
      <c r="I32" s="4" t="s">
        <v>20</v>
      </c>
    </row>
    <row r="33" spans="1:9" x14ac:dyDescent="0.25">
      <c r="A33" t="s">
        <v>23</v>
      </c>
      <c r="B33" t="s">
        <v>83</v>
      </c>
      <c r="C33" s="70" t="s">
        <v>22</v>
      </c>
      <c r="D33" s="70"/>
      <c r="E33" s="3">
        <f t="shared" si="2"/>
        <v>17</v>
      </c>
      <c r="F33" s="15">
        <v>44.9</v>
      </c>
      <c r="G33" s="15">
        <v>1.4</v>
      </c>
      <c r="H33" s="15">
        <f t="shared" si="3"/>
        <v>43.5</v>
      </c>
      <c r="I33" s="4" t="s">
        <v>20</v>
      </c>
    </row>
    <row r="34" spans="1:9" x14ac:dyDescent="0.25">
      <c r="A34" t="s">
        <v>23</v>
      </c>
      <c r="B34" t="s">
        <v>83</v>
      </c>
      <c r="C34" s="70" t="s">
        <v>22</v>
      </c>
      <c r="D34" s="70"/>
      <c r="E34" s="3">
        <f t="shared" si="2"/>
        <v>18</v>
      </c>
      <c r="F34" s="15">
        <v>38.5</v>
      </c>
      <c r="G34" s="15">
        <v>1.1000000000000001</v>
      </c>
      <c r="H34" s="15">
        <f t="shared" si="3"/>
        <v>37.4</v>
      </c>
      <c r="I34" s="4" t="s">
        <v>20</v>
      </c>
    </row>
    <row r="35" spans="1:9" x14ac:dyDescent="0.25">
      <c r="A35" t="s">
        <v>23</v>
      </c>
      <c r="B35" t="s">
        <v>83</v>
      </c>
      <c r="C35" s="70" t="s">
        <v>22</v>
      </c>
      <c r="D35" s="70"/>
      <c r="E35" s="3">
        <f t="shared" si="2"/>
        <v>19</v>
      </c>
      <c r="F35" s="15">
        <v>36.6</v>
      </c>
      <c r="G35" s="15">
        <v>1.4</v>
      </c>
      <c r="H35" s="15">
        <f t="shared" si="3"/>
        <v>35.200000000000003</v>
      </c>
      <c r="I35" s="4" t="s">
        <v>20</v>
      </c>
    </row>
    <row r="36" spans="1:9" x14ac:dyDescent="0.25">
      <c r="A36" t="s">
        <v>23</v>
      </c>
      <c r="B36" t="s">
        <v>83</v>
      </c>
      <c r="C36" s="70" t="s">
        <v>22</v>
      </c>
      <c r="D36" s="70"/>
      <c r="E36" s="3">
        <f t="shared" si="2"/>
        <v>20</v>
      </c>
      <c r="F36" s="15">
        <v>43</v>
      </c>
      <c r="G36" s="15">
        <v>1.6</v>
      </c>
      <c r="H36" s="15">
        <f t="shared" si="3"/>
        <v>41.4</v>
      </c>
      <c r="I36" s="4" t="s">
        <v>20</v>
      </c>
    </row>
    <row r="37" spans="1:9" x14ac:dyDescent="0.25">
      <c r="A37" t="s">
        <v>23</v>
      </c>
      <c r="B37" t="s">
        <v>83</v>
      </c>
      <c r="C37" s="70" t="s">
        <v>22</v>
      </c>
      <c r="D37" s="70"/>
      <c r="E37" s="3">
        <f t="shared" si="2"/>
        <v>21</v>
      </c>
      <c r="F37" s="15">
        <v>38.6</v>
      </c>
      <c r="G37" s="15">
        <v>1.9</v>
      </c>
      <c r="H37" s="15">
        <f t="shared" si="3"/>
        <v>36.700000000000003</v>
      </c>
      <c r="I37" s="4" t="s">
        <v>20</v>
      </c>
    </row>
    <row r="38" spans="1:9" x14ac:dyDescent="0.25">
      <c r="A38" t="s">
        <v>23</v>
      </c>
      <c r="B38" t="s">
        <v>83</v>
      </c>
      <c r="C38" s="70" t="s">
        <v>22</v>
      </c>
      <c r="D38" s="70"/>
      <c r="E38" s="3">
        <f t="shared" si="2"/>
        <v>22</v>
      </c>
      <c r="F38" s="15">
        <v>37.799999999999997</v>
      </c>
      <c r="G38" s="15">
        <v>1.1000000000000001</v>
      </c>
      <c r="H38" s="15">
        <f t="shared" si="3"/>
        <v>36.699999999999996</v>
      </c>
      <c r="I38" s="4" t="s">
        <v>20</v>
      </c>
    </row>
    <row r="39" spans="1:9" x14ac:dyDescent="0.25">
      <c r="A39" t="s">
        <v>23</v>
      </c>
      <c r="B39" t="s">
        <v>83</v>
      </c>
      <c r="C39" s="70" t="s">
        <v>22</v>
      </c>
      <c r="D39" s="70"/>
      <c r="E39" s="3">
        <f t="shared" si="2"/>
        <v>23</v>
      </c>
      <c r="F39" s="15">
        <v>42.4</v>
      </c>
      <c r="G39" s="15">
        <v>2.1</v>
      </c>
      <c r="H39" s="15">
        <f t="shared" si="3"/>
        <v>40.299999999999997</v>
      </c>
      <c r="I39" s="4" t="s">
        <v>20</v>
      </c>
    </row>
    <row r="40" spans="1:9" x14ac:dyDescent="0.25">
      <c r="A40" t="s">
        <v>23</v>
      </c>
      <c r="B40" t="s">
        <v>83</v>
      </c>
      <c r="C40" s="70" t="s">
        <v>22</v>
      </c>
      <c r="D40" s="70"/>
      <c r="E40" s="3">
        <f t="shared" si="2"/>
        <v>24</v>
      </c>
      <c r="F40" s="15">
        <v>41.7</v>
      </c>
      <c r="G40" s="15">
        <v>0.8</v>
      </c>
      <c r="H40" s="15">
        <f t="shared" si="3"/>
        <v>40.900000000000006</v>
      </c>
      <c r="I40" s="4" t="s">
        <v>20</v>
      </c>
    </row>
    <row r="41" spans="1:9" x14ac:dyDescent="0.25">
      <c r="A41" t="s">
        <v>23</v>
      </c>
      <c r="B41" t="s">
        <v>83</v>
      </c>
      <c r="C41" s="70" t="s">
        <v>22</v>
      </c>
      <c r="D41" s="70"/>
      <c r="E41" s="3">
        <f t="shared" si="2"/>
        <v>25</v>
      </c>
      <c r="F41" s="15">
        <v>40.200000000000003</v>
      </c>
      <c r="G41" s="15">
        <v>1.1000000000000001</v>
      </c>
      <c r="H41" s="15">
        <f t="shared" si="3"/>
        <v>39.1</v>
      </c>
      <c r="I41" s="4" t="s">
        <v>20</v>
      </c>
    </row>
    <row r="42" spans="1:9" x14ac:dyDescent="0.25">
      <c r="A42" t="s">
        <v>23</v>
      </c>
      <c r="B42" t="s">
        <v>83</v>
      </c>
      <c r="C42" s="70" t="s">
        <v>22</v>
      </c>
      <c r="D42" s="70"/>
      <c r="E42" s="3">
        <f t="shared" si="2"/>
        <v>26</v>
      </c>
      <c r="F42" s="15">
        <v>30.6</v>
      </c>
      <c r="G42" s="15">
        <v>1.3</v>
      </c>
      <c r="H42" s="15">
        <f t="shared" si="3"/>
        <v>29.3</v>
      </c>
      <c r="I42" s="4" t="s">
        <v>20</v>
      </c>
    </row>
    <row r="43" spans="1:9" x14ac:dyDescent="0.25">
      <c r="A43" t="s">
        <v>23</v>
      </c>
      <c r="B43" t="s">
        <v>83</v>
      </c>
      <c r="C43" s="70" t="s">
        <v>22</v>
      </c>
      <c r="D43" s="70"/>
      <c r="E43" s="3">
        <f t="shared" si="2"/>
        <v>27</v>
      </c>
      <c r="F43" s="15">
        <v>40.200000000000003</v>
      </c>
      <c r="G43" s="15">
        <v>1.7</v>
      </c>
      <c r="H43" s="15">
        <f t="shared" si="3"/>
        <v>38.5</v>
      </c>
      <c r="I43" s="4" t="s">
        <v>20</v>
      </c>
    </row>
    <row r="44" spans="1:9" x14ac:dyDescent="0.25">
      <c r="A44" t="s">
        <v>23</v>
      </c>
      <c r="B44" t="s">
        <v>83</v>
      </c>
      <c r="C44" s="70" t="s">
        <v>22</v>
      </c>
      <c r="D44" s="70"/>
      <c r="E44" s="3">
        <f t="shared" si="2"/>
        <v>28</v>
      </c>
      <c r="F44" s="15">
        <v>42.6</v>
      </c>
      <c r="G44" s="15">
        <v>1.9</v>
      </c>
      <c r="H44" s="15">
        <f t="shared" si="3"/>
        <v>40.700000000000003</v>
      </c>
      <c r="I44" s="4" t="s">
        <v>20</v>
      </c>
    </row>
    <row r="45" spans="1:9" x14ac:dyDescent="0.25">
      <c r="A45" t="s">
        <v>23</v>
      </c>
      <c r="B45" t="s">
        <v>83</v>
      </c>
      <c r="C45" s="70" t="s">
        <v>22</v>
      </c>
      <c r="D45" s="70"/>
      <c r="E45" s="3">
        <f t="shared" si="2"/>
        <v>29</v>
      </c>
      <c r="F45" s="15">
        <v>46.5</v>
      </c>
      <c r="G45" s="15">
        <v>1.1000000000000001</v>
      </c>
      <c r="H45" s="15">
        <f t="shared" si="3"/>
        <v>45.4</v>
      </c>
      <c r="I45" s="4" t="s">
        <v>20</v>
      </c>
    </row>
    <row r="46" spans="1:9" x14ac:dyDescent="0.25">
      <c r="A46" t="s">
        <v>23</v>
      </c>
      <c r="B46" t="s">
        <v>83</v>
      </c>
      <c r="C46" s="70" t="s">
        <v>22</v>
      </c>
      <c r="D46" s="70"/>
      <c r="E46" s="3">
        <f t="shared" si="2"/>
        <v>30</v>
      </c>
      <c r="F46" s="15">
        <v>44.1</v>
      </c>
      <c r="G46" s="15">
        <v>1.1000000000000001</v>
      </c>
      <c r="H46" s="15">
        <f t="shared" si="3"/>
        <v>43</v>
      </c>
      <c r="I46" s="4" t="s">
        <v>20</v>
      </c>
    </row>
    <row r="47" spans="1:9" x14ac:dyDescent="0.25">
      <c r="A47" t="s">
        <v>23</v>
      </c>
      <c r="B47" t="s">
        <v>83</v>
      </c>
      <c r="C47" s="70" t="s">
        <v>22</v>
      </c>
      <c r="D47" s="70"/>
      <c r="E47" s="3">
        <f t="shared" si="2"/>
        <v>31</v>
      </c>
      <c r="F47" s="15">
        <v>40.4</v>
      </c>
      <c r="G47" s="15">
        <v>0.8</v>
      </c>
      <c r="H47" s="15">
        <f t="shared" si="3"/>
        <v>39.6</v>
      </c>
      <c r="I47" s="4" t="s">
        <v>20</v>
      </c>
    </row>
    <row r="48" spans="1:9" x14ac:dyDescent="0.25">
      <c r="A48" t="s">
        <v>23</v>
      </c>
      <c r="B48" t="s">
        <v>83</v>
      </c>
      <c r="C48" s="70" t="s">
        <v>22</v>
      </c>
      <c r="D48" s="70"/>
      <c r="E48" s="3">
        <f t="shared" si="2"/>
        <v>32</v>
      </c>
      <c r="F48" s="15">
        <v>41.6</v>
      </c>
      <c r="G48" s="15">
        <v>1</v>
      </c>
      <c r="H48" s="15">
        <f t="shared" si="3"/>
        <v>40.6</v>
      </c>
      <c r="I48" s="4" t="s">
        <v>20</v>
      </c>
    </row>
    <row r="49" spans="1:9" x14ac:dyDescent="0.25">
      <c r="A49" t="s">
        <v>23</v>
      </c>
      <c r="B49" t="s">
        <v>83</v>
      </c>
      <c r="C49" s="70" t="s">
        <v>22</v>
      </c>
      <c r="D49" s="70"/>
      <c r="E49" s="3">
        <f t="shared" si="2"/>
        <v>33</v>
      </c>
      <c r="F49" s="15">
        <v>42.1</v>
      </c>
      <c r="G49" s="15">
        <v>1.1000000000000001</v>
      </c>
      <c r="H49" s="15">
        <f t="shared" si="3"/>
        <v>41</v>
      </c>
      <c r="I49" s="4" t="s">
        <v>20</v>
      </c>
    </row>
    <row r="50" spans="1:9" x14ac:dyDescent="0.25">
      <c r="A50" t="s">
        <v>23</v>
      </c>
      <c r="B50" t="s">
        <v>83</v>
      </c>
      <c r="C50" s="70" t="s">
        <v>22</v>
      </c>
      <c r="D50" s="70"/>
      <c r="E50" s="3">
        <f t="shared" si="2"/>
        <v>34</v>
      </c>
      <c r="F50" s="15">
        <v>36.700000000000003</v>
      </c>
      <c r="G50" s="15">
        <v>1.1000000000000001</v>
      </c>
      <c r="H50" s="15">
        <f t="shared" si="3"/>
        <v>35.6</v>
      </c>
      <c r="I50" s="4" t="s">
        <v>20</v>
      </c>
    </row>
    <row r="51" spans="1:9" x14ac:dyDescent="0.25">
      <c r="A51" t="s">
        <v>23</v>
      </c>
      <c r="B51" t="s">
        <v>83</v>
      </c>
      <c r="C51" s="70" t="s">
        <v>22</v>
      </c>
      <c r="D51" s="70"/>
      <c r="E51" s="3">
        <f t="shared" si="2"/>
        <v>35</v>
      </c>
      <c r="F51" s="15">
        <v>42.5</v>
      </c>
      <c r="G51" s="15">
        <v>1.1000000000000001</v>
      </c>
      <c r="H51" s="15">
        <f t="shared" si="3"/>
        <v>41.4</v>
      </c>
      <c r="I51" s="4" t="s">
        <v>20</v>
      </c>
    </row>
    <row r="52" spans="1:9" x14ac:dyDescent="0.25">
      <c r="A52" t="s">
        <v>23</v>
      </c>
      <c r="B52" t="s">
        <v>83</v>
      </c>
      <c r="C52" s="70" t="s">
        <v>22</v>
      </c>
      <c r="D52" s="70"/>
      <c r="E52" s="3">
        <f t="shared" si="2"/>
        <v>36</v>
      </c>
      <c r="F52" s="15">
        <v>36.700000000000003</v>
      </c>
      <c r="G52" s="15">
        <v>1</v>
      </c>
      <c r="H52" s="15">
        <f t="shared" si="3"/>
        <v>35.700000000000003</v>
      </c>
      <c r="I52" s="4" t="s">
        <v>20</v>
      </c>
    </row>
    <row r="53" spans="1:9" x14ac:dyDescent="0.25">
      <c r="A53" t="s">
        <v>23</v>
      </c>
      <c r="B53" t="s">
        <v>83</v>
      </c>
      <c r="C53" s="70" t="s">
        <v>22</v>
      </c>
      <c r="D53" s="70"/>
      <c r="E53" s="3">
        <f t="shared" si="2"/>
        <v>37</v>
      </c>
      <c r="F53" s="15">
        <v>34.6</v>
      </c>
      <c r="G53" s="15">
        <v>1.1000000000000001</v>
      </c>
      <c r="H53" s="15">
        <f t="shared" si="3"/>
        <v>33.5</v>
      </c>
      <c r="I53" s="4" t="s">
        <v>20</v>
      </c>
    </row>
    <row r="54" spans="1:9" x14ac:dyDescent="0.25">
      <c r="A54" t="s">
        <v>23</v>
      </c>
      <c r="B54" t="s">
        <v>83</v>
      </c>
      <c r="C54" s="70" t="s">
        <v>22</v>
      </c>
      <c r="D54" s="70"/>
      <c r="E54" s="3">
        <f t="shared" si="2"/>
        <v>38</v>
      </c>
      <c r="F54" s="15">
        <v>39.799999999999997</v>
      </c>
      <c r="G54" s="15">
        <v>1.1000000000000001</v>
      </c>
      <c r="H54" s="15">
        <f t="shared" si="3"/>
        <v>38.699999999999996</v>
      </c>
      <c r="I54" s="4" t="s">
        <v>20</v>
      </c>
    </row>
    <row r="55" spans="1:9" x14ac:dyDescent="0.25">
      <c r="A55" t="s">
        <v>23</v>
      </c>
      <c r="B55" t="s">
        <v>83</v>
      </c>
      <c r="C55" s="70" t="s">
        <v>22</v>
      </c>
      <c r="D55" s="70"/>
      <c r="E55" s="3">
        <f t="shared" si="2"/>
        <v>39</v>
      </c>
      <c r="F55" s="15">
        <v>43</v>
      </c>
      <c r="G55" s="15">
        <v>1.1000000000000001</v>
      </c>
      <c r="H55" s="15">
        <f t="shared" si="3"/>
        <v>41.9</v>
      </c>
      <c r="I55" s="4" t="s">
        <v>20</v>
      </c>
    </row>
    <row r="56" spans="1:9" x14ac:dyDescent="0.25">
      <c r="A56" t="s">
        <v>23</v>
      </c>
      <c r="B56" t="s">
        <v>83</v>
      </c>
      <c r="C56" s="70" t="s">
        <v>22</v>
      </c>
      <c r="D56" s="70"/>
      <c r="E56" s="3">
        <f t="shared" si="2"/>
        <v>40</v>
      </c>
      <c r="F56" s="15">
        <v>37.6</v>
      </c>
      <c r="G56" s="15">
        <v>1.1000000000000001</v>
      </c>
      <c r="H56" s="15">
        <f t="shared" si="3"/>
        <v>36.5</v>
      </c>
      <c r="I56" s="4" t="s">
        <v>20</v>
      </c>
    </row>
    <row r="57" spans="1:9" x14ac:dyDescent="0.25">
      <c r="A57" t="s">
        <v>23</v>
      </c>
      <c r="B57" t="s">
        <v>83</v>
      </c>
      <c r="C57" s="70" t="s">
        <v>22</v>
      </c>
      <c r="D57" s="70"/>
      <c r="E57" s="3">
        <f t="shared" si="2"/>
        <v>41</v>
      </c>
      <c r="F57" s="15">
        <v>46.7</v>
      </c>
      <c r="G57" s="15">
        <v>1.6</v>
      </c>
      <c r="H57" s="15">
        <f t="shared" si="3"/>
        <v>45.1</v>
      </c>
      <c r="I57" s="4" t="s">
        <v>20</v>
      </c>
    </row>
    <row r="58" spans="1:9" x14ac:dyDescent="0.25">
      <c r="A58" t="s">
        <v>23</v>
      </c>
      <c r="B58" t="s">
        <v>83</v>
      </c>
      <c r="C58" s="70" t="s">
        <v>22</v>
      </c>
      <c r="D58" s="70"/>
      <c r="E58" s="3">
        <f t="shared" si="2"/>
        <v>42</v>
      </c>
      <c r="F58" s="15">
        <v>40.299999999999997</v>
      </c>
      <c r="G58" s="15">
        <v>1.2</v>
      </c>
      <c r="H58" s="15">
        <f t="shared" si="3"/>
        <v>39.099999999999994</v>
      </c>
      <c r="I58" s="4" t="s">
        <v>20</v>
      </c>
    </row>
    <row r="59" spans="1:9" x14ac:dyDescent="0.25">
      <c r="A59" t="s">
        <v>23</v>
      </c>
      <c r="B59" t="s">
        <v>83</v>
      </c>
      <c r="C59" s="70" t="s">
        <v>22</v>
      </c>
      <c r="D59" s="70"/>
      <c r="E59" s="3">
        <f t="shared" si="2"/>
        <v>43</v>
      </c>
      <c r="F59" s="15">
        <v>49.6</v>
      </c>
      <c r="G59" s="15">
        <v>1.4</v>
      </c>
      <c r="H59" s="15">
        <f t="shared" si="3"/>
        <v>48.2</v>
      </c>
      <c r="I59" s="4" t="s">
        <v>20</v>
      </c>
    </row>
    <row r="60" spans="1:9" x14ac:dyDescent="0.25">
      <c r="A60" t="s">
        <v>23</v>
      </c>
      <c r="B60" t="s">
        <v>83</v>
      </c>
      <c r="C60" s="70" t="s">
        <v>22</v>
      </c>
      <c r="D60" s="70"/>
      <c r="E60" s="3">
        <f t="shared" si="2"/>
        <v>44</v>
      </c>
      <c r="F60" s="15">
        <v>39.700000000000003</v>
      </c>
      <c r="G60" s="15">
        <v>1.6</v>
      </c>
      <c r="H60" s="15">
        <f t="shared" si="3"/>
        <v>38.1</v>
      </c>
      <c r="I60" s="4" t="s">
        <v>20</v>
      </c>
    </row>
    <row r="61" spans="1:9" x14ac:dyDescent="0.25">
      <c r="A61" t="s">
        <v>23</v>
      </c>
      <c r="B61" t="s">
        <v>83</v>
      </c>
      <c r="C61" s="70" t="s">
        <v>22</v>
      </c>
      <c r="D61" s="70"/>
      <c r="E61" s="3">
        <f t="shared" si="2"/>
        <v>45</v>
      </c>
      <c r="F61" s="15">
        <v>46.7</v>
      </c>
      <c r="G61" s="15">
        <v>1.9</v>
      </c>
      <c r="H61" s="15">
        <f t="shared" si="3"/>
        <v>44.800000000000004</v>
      </c>
      <c r="I61" s="4" t="s">
        <v>20</v>
      </c>
    </row>
    <row r="62" spans="1:9" x14ac:dyDescent="0.25">
      <c r="A62" t="s">
        <v>23</v>
      </c>
      <c r="B62" t="s">
        <v>83</v>
      </c>
      <c r="C62" s="70" t="s">
        <v>22</v>
      </c>
      <c r="D62" s="70"/>
      <c r="E62" s="3">
        <f t="shared" si="2"/>
        <v>46</v>
      </c>
      <c r="F62" s="15">
        <v>44.7</v>
      </c>
      <c r="G62" s="15">
        <v>1.1000000000000001</v>
      </c>
      <c r="H62" s="15">
        <f t="shared" si="3"/>
        <v>43.6</v>
      </c>
      <c r="I62" s="4" t="s">
        <v>20</v>
      </c>
    </row>
    <row r="63" spans="1:9" x14ac:dyDescent="0.25">
      <c r="A63" t="s">
        <v>23</v>
      </c>
      <c r="B63" t="s">
        <v>83</v>
      </c>
      <c r="C63" s="70" t="s">
        <v>22</v>
      </c>
      <c r="D63" s="70"/>
      <c r="E63" s="3">
        <f t="shared" si="2"/>
        <v>47</v>
      </c>
      <c r="F63" s="15">
        <v>40.299999999999997</v>
      </c>
      <c r="G63" s="15">
        <v>2.1</v>
      </c>
      <c r="H63" s="15">
        <f t="shared" si="3"/>
        <v>38.199999999999996</v>
      </c>
      <c r="I63" s="4" t="s">
        <v>20</v>
      </c>
    </row>
    <row r="64" spans="1:9" x14ac:dyDescent="0.25">
      <c r="A64" t="s">
        <v>23</v>
      </c>
      <c r="B64" t="s">
        <v>83</v>
      </c>
      <c r="C64" s="70" t="s">
        <v>22</v>
      </c>
      <c r="D64" s="70"/>
      <c r="E64" s="3">
        <f t="shared" si="2"/>
        <v>48</v>
      </c>
      <c r="F64" s="15">
        <v>45.2</v>
      </c>
      <c r="G64" s="15">
        <v>0.8</v>
      </c>
      <c r="H64" s="15">
        <f t="shared" si="3"/>
        <v>44.400000000000006</v>
      </c>
      <c r="I64" s="4" t="s">
        <v>20</v>
      </c>
    </row>
    <row r="65" spans="1:9" x14ac:dyDescent="0.25">
      <c r="A65" t="s">
        <v>23</v>
      </c>
      <c r="B65" t="s">
        <v>83</v>
      </c>
      <c r="C65" s="70" t="s">
        <v>22</v>
      </c>
      <c r="D65" s="70"/>
      <c r="E65" s="3">
        <f t="shared" si="2"/>
        <v>49</v>
      </c>
      <c r="F65" s="15">
        <v>39.4</v>
      </c>
      <c r="G65" s="15">
        <v>1.1000000000000001</v>
      </c>
      <c r="H65" s="15">
        <f t="shared" si="3"/>
        <v>38.299999999999997</v>
      </c>
      <c r="I65" s="4" t="s">
        <v>20</v>
      </c>
    </row>
    <row r="66" spans="1:9" x14ac:dyDescent="0.25">
      <c r="A66" t="s">
        <v>23</v>
      </c>
      <c r="B66" t="s">
        <v>83</v>
      </c>
      <c r="C66" s="70" t="s">
        <v>22</v>
      </c>
      <c r="D66" s="70"/>
      <c r="E66" s="3">
        <f t="shared" si="2"/>
        <v>50</v>
      </c>
      <c r="F66" s="15">
        <v>40.5</v>
      </c>
      <c r="G66" s="15">
        <v>1.3</v>
      </c>
      <c r="H66" s="15">
        <f t="shared" si="3"/>
        <v>39.200000000000003</v>
      </c>
      <c r="I66" s="4" t="s">
        <v>20</v>
      </c>
    </row>
    <row r="67" spans="1:9" x14ac:dyDescent="0.25">
      <c r="A67" t="s">
        <v>23</v>
      </c>
      <c r="B67" t="s">
        <v>83</v>
      </c>
      <c r="C67" s="70" t="s">
        <v>22</v>
      </c>
      <c r="D67" s="70"/>
      <c r="E67" s="3">
        <f t="shared" si="2"/>
        <v>51</v>
      </c>
      <c r="F67" s="15">
        <v>44.7</v>
      </c>
      <c r="G67" s="15">
        <v>1.7</v>
      </c>
      <c r="H67" s="15">
        <f t="shared" si="3"/>
        <v>43</v>
      </c>
      <c r="I67" s="4" t="s">
        <v>20</v>
      </c>
    </row>
    <row r="68" spans="1:9" x14ac:dyDescent="0.25">
      <c r="A68" t="s">
        <v>23</v>
      </c>
      <c r="B68" t="s">
        <v>83</v>
      </c>
      <c r="C68" s="70" t="s">
        <v>22</v>
      </c>
      <c r="D68" s="70"/>
      <c r="E68" s="3">
        <f t="shared" si="2"/>
        <v>52</v>
      </c>
      <c r="F68" s="15">
        <v>46.8</v>
      </c>
      <c r="G68" s="15">
        <v>1.9</v>
      </c>
      <c r="H68" s="15">
        <f t="shared" si="3"/>
        <v>44.9</v>
      </c>
      <c r="I68" s="4" t="s">
        <v>20</v>
      </c>
    </row>
    <row r="69" spans="1:9" x14ac:dyDescent="0.25">
      <c r="A69" t="s">
        <v>23</v>
      </c>
      <c r="B69" t="s">
        <v>83</v>
      </c>
      <c r="C69" s="70" t="s">
        <v>22</v>
      </c>
      <c r="D69" s="70"/>
      <c r="E69" s="3">
        <f t="shared" si="2"/>
        <v>53</v>
      </c>
      <c r="F69" s="15">
        <v>46.5</v>
      </c>
      <c r="G69" s="15">
        <v>1.1000000000000001</v>
      </c>
      <c r="H69" s="15">
        <f t="shared" si="3"/>
        <v>45.4</v>
      </c>
      <c r="I69" s="4" t="s">
        <v>20</v>
      </c>
    </row>
    <row r="70" spans="1:9" x14ac:dyDescent="0.25">
      <c r="A70" t="s">
        <v>23</v>
      </c>
      <c r="B70" t="s">
        <v>83</v>
      </c>
      <c r="C70" s="70" t="s">
        <v>22</v>
      </c>
      <c r="D70" s="70"/>
      <c r="E70" s="3">
        <f t="shared" si="2"/>
        <v>54</v>
      </c>
      <c r="F70" s="15">
        <v>46.5</v>
      </c>
      <c r="G70" s="15">
        <v>1.4</v>
      </c>
      <c r="H70" s="15">
        <f t="shared" si="3"/>
        <v>45.1</v>
      </c>
      <c r="I70" s="4" t="s">
        <v>20</v>
      </c>
    </row>
    <row r="71" spans="1:9" x14ac:dyDescent="0.25">
      <c r="A71" t="s">
        <v>23</v>
      </c>
      <c r="B71" t="s">
        <v>83</v>
      </c>
      <c r="C71" s="70" t="s">
        <v>22</v>
      </c>
      <c r="D71" s="70"/>
      <c r="E71" s="3">
        <f t="shared" si="2"/>
        <v>55</v>
      </c>
      <c r="F71" s="15">
        <v>38.6</v>
      </c>
      <c r="G71" s="15">
        <v>1.1000000000000001</v>
      </c>
      <c r="H71" s="15">
        <f t="shared" si="3"/>
        <v>37.5</v>
      </c>
      <c r="I71" s="4" t="s">
        <v>20</v>
      </c>
    </row>
    <row r="72" spans="1:9" x14ac:dyDescent="0.25">
      <c r="A72" t="s">
        <v>23</v>
      </c>
      <c r="B72" t="s">
        <v>83</v>
      </c>
      <c r="C72" s="70" t="s">
        <v>22</v>
      </c>
      <c r="D72" s="70"/>
      <c r="E72" s="3">
        <f t="shared" si="2"/>
        <v>56</v>
      </c>
      <c r="F72" s="15">
        <v>44.9</v>
      </c>
      <c r="G72" s="15">
        <v>1.4</v>
      </c>
      <c r="H72" s="15">
        <f t="shared" si="3"/>
        <v>43.5</v>
      </c>
      <c r="I72" s="4" t="s">
        <v>20</v>
      </c>
    </row>
    <row r="73" spans="1:9" x14ac:dyDescent="0.25">
      <c r="A73" t="s">
        <v>23</v>
      </c>
      <c r="B73" t="s">
        <v>83</v>
      </c>
      <c r="C73" s="70" t="s">
        <v>22</v>
      </c>
      <c r="D73" s="70"/>
      <c r="E73" s="3">
        <f t="shared" si="2"/>
        <v>57</v>
      </c>
      <c r="F73" s="15">
        <v>44.7</v>
      </c>
      <c r="G73" s="15">
        <v>1.6</v>
      </c>
      <c r="H73" s="15">
        <f t="shared" si="3"/>
        <v>43.1</v>
      </c>
      <c r="I73" s="4" t="s">
        <v>20</v>
      </c>
    </row>
    <row r="74" spans="1:9" x14ac:dyDescent="0.25">
      <c r="A74" t="s">
        <v>23</v>
      </c>
      <c r="B74" t="s">
        <v>83</v>
      </c>
      <c r="C74" s="70" t="s">
        <v>22</v>
      </c>
      <c r="D74" s="70"/>
      <c r="E74" s="3">
        <f t="shared" si="2"/>
        <v>58</v>
      </c>
      <c r="F74" s="15">
        <v>40.6</v>
      </c>
      <c r="G74" s="15">
        <v>1.9</v>
      </c>
      <c r="H74" s="15">
        <f t="shared" si="1"/>
        <v>38.700000000000003</v>
      </c>
      <c r="I74" s="4" t="s">
        <v>20</v>
      </c>
    </row>
    <row r="75" spans="1:9" x14ac:dyDescent="0.25">
      <c r="A75" t="s">
        <v>23</v>
      </c>
      <c r="B75" t="s">
        <v>83</v>
      </c>
      <c r="C75" s="70" t="s">
        <v>22</v>
      </c>
      <c r="D75" s="70"/>
      <c r="E75" s="3">
        <f t="shared" si="2"/>
        <v>59</v>
      </c>
      <c r="F75" s="15">
        <v>41.7</v>
      </c>
      <c r="G75" s="15">
        <v>1.1000000000000001</v>
      </c>
      <c r="H75" s="15">
        <f t="shared" si="1"/>
        <v>40.6</v>
      </c>
      <c r="I75" s="4" t="s">
        <v>20</v>
      </c>
    </row>
    <row r="76" spans="1:9" x14ac:dyDescent="0.25">
      <c r="A76" t="s">
        <v>23</v>
      </c>
      <c r="B76" t="s">
        <v>83</v>
      </c>
      <c r="C76" s="70" t="s">
        <v>22</v>
      </c>
      <c r="D76" s="70"/>
      <c r="E76" s="3">
        <f t="shared" si="2"/>
        <v>60</v>
      </c>
      <c r="F76" s="15">
        <v>41</v>
      </c>
      <c r="G76" s="15">
        <v>2.1</v>
      </c>
      <c r="H76" s="15">
        <f t="shared" si="1"/>
        <v>38.9</v>
      </c>
      <c r="I76" s="4" t="s">
        <v>20</v>
      </c>
    </row>
    <row r="77" spans="1:9" x14ac:dyDescent="0.25">
      <c r="A77" t="s">
        <v>23</v>
      </c>
      <c r="B77" t="s">
        <v>83</v>
      </c>
      <c r="C77" s="70" t="s">
        <v>22</v>
      </c>
      <c r="D77" s="70"/>
      <c r="E77" s="3">
        <f t="shared" si="2"/>
        <v>61</v>
      </c>
      <c r="F77" s="15">
        <v>40.799999999999997</v>
      </c>
      <c r="G77" s="15">
        <v>0.8</v>
      </c>
      <c r="H77" s="15">
        <f t="shared" si="1"/>
        <v>40</v>
      </c>
      <c r="I77" s="4" t="s">
        <v>20</v>
      </c>
    </row>
    <row r="78" spans="1:9" x14ac:dyDescent="0.25">
      <c r="A78" t="s">
        <v>23</v>
      </c>
      <c r="B78" t="s">
        <v>83</v>
      </c>
      <c r="C78" s="70" t="s">
        <v>22</v>
      </c>
      <c r="D78" s="70"/>
      <c r="E78" s="3">
        <f t="shared" si="2"/>
        <v>62</v>
      </c>
      <c r="F78" s="15">
        <v>41.3</v>
      </c>
      <c r="G78" s="15">
        <v>1.1000000000000001</v>
      </c>
      <c r="H78" s="15">
        <f t="shared" si="1"/>
        <v>40.199999999999996</v>
      </c>
      <c r="I78" s="4" t="s">
        <v>20</v>
      </c>
    </row>
    <row r="79" spans="1:9" x14ac:dyDescent="0.25">
      <c r="A79" t="s">
        <v>23</v>
      </c>
      <c r="B79" t="s">
        <v>83</v>
      </c>
      <c r="C79" s="70" t="s">
        <v>22</v>
      </c>
      <c r="D79" s="70"/>
      <c r="E79" s="3">
        <f t="shared" si="2"/>
        <v>63</v>
      </c>
      <c r="F79" s="15">
        <v>47.6</v>
      </c>
      <c r="G79" s="15">
        <v>1.3</v>
      </c>
      <c r="H79" s="15">
        <f t="shared" si="1"/>
        <v>46.300000000000004</v>
      </c>
      <c r="I79" s="4" t="s">
        <v>20</v>
      </c>
    </row>
    <row r="80" spans="1:9" x14ac:dyDescent="0.25">
      <c r="A80" t="s">
        <v>23</v>
      </c>
      <c r="B80" t="s">
        <v>83</v>
      </c>
      <c r="C80" s="70" t="s">
        <v>22</v>
      </c>
      <c r="D80" s="70"/>
      <c r="E80" s="3">
        <f t="shared" si="2"/>
        <v>64</v>
      </c>
      <c r="F80" s="15">
        <v>43.7</v>
      </c>
      <c r="G80" s="15">
        <v>1.7</v>
      </c>
      <c r="H80" s="15">
        <f t="shared" si="1"/>
        <v>42</v>
      </c>
      <c r="I80" s="4" t="s">
        <v>20</v>
      </c>
    </row>
    <row r="81" spans="1:9" x14ac:dyDescent="0.25">
      <c r="A81" t="s">
        <v>23</v>
      </c>
      <c r="B81" t="s">
        <v>83</v>
      </c>
      <c r="C81" s="70" t="s">
        <v>22</v>
      </c>
      <c r="D81" s="70"/>
      <c r="E81" s="3">
        <f t="shared" si="2"/>
        <v>65</v>
      </c>
      <c r="F81" s="15">
        <v>50</v>
      </c>
      <c r="G81" s="15">
        <v>1.9</v>
      </c>
      <c r="H81" s="15">
        <f t="shared" si="1"/>
        <v>48.1</v>
      </c>
      <c r="I81" s="4" t="s">
        <v>20</v>
      </c>
    </row>
    <row r="82" spans="1:9" x14ac:dyDescent="0.25">
      <c r="A82" t="s">
        <v>23</v>
      </c>
      <c r="B82" t="s">
        <v>83</v>
      </c>
      <c r="C82" s="70" t="s">
        <v>22</v>
      </c>
      <c r="D82" s="70"/>
      <c r="E82" s="3">
        <f t="shared" si="2"/>
        <v>66</v>
      </c>
      <c r="F82" s="15">
        <v>42.4</v>
      </c>
      <c r="G82" s="15">
        <v>1.1000000000000001</v>
      </c>
      <c r="H82" s="15">
        <f t="shared" si="1"/>
        <v>41.3</v>
      </c>
      <c r="I82" s="4" t="s">
        <v>20</v>
      </c>
    </row>
    <row r="83" spans="1:9" x14ac:dyDescent="0.25">
      <c r="A83" t="s">
        <v>23</v>
      </c>
      <c r="B83" t="s">
        <v>83</v>
      </c>
      <c r="C83" s="70" t="s">
        <v>22</v>
      </c>
      <c r="D83" s="70"/>
      <c r="E83" s="3">
        <f t="shared" si="2"/>
        <v>67</v>
      </c>
      <c r="F83" s="15">
        <v>44.7</v>
      </c>
      <c r="G83" s="15">
        <v>1.1000000000000001</v>
      </c>
      <c r="H83" s="15">
        <f t="shared" si="1"/>
        <v>43.6</v>
      </c>
      <c r="I83" s="4" t="s">
        <v>20</v>
      </c>
    </row>
    <row r="84" spans="1:9" x14ac:dyDescent="0.25">
      <c r="A84" t="s">
        <v>23</v>
      </c>
      <c r="B84" t="s">
        <v>83</v>
      </c>
      <c r="C84" s="70" t="s">
        <v>22</v>
      </c>
      <c r="D84" s="70"/>
      <c r="E84" s="3">
        <f t="shared" si="2"/>
        <v>68</v>
      </c>
      <c r="F84" s="15">
        <v>40.4</v>
      </c>
      <c r="G84" s="15">
        <v>1.1000000000000001</v>
      </c>
      <c r="H84" s="15">
        <f t="shared" si="1"/>
        <v>39.299999999999997</v>
      </c>
      <c r="I84" s="4" t="s">
        <v>20</v>
      </c>
    </row>
    <row r="85" spans="1:9" x14ac:dyDescent="0.25">
      <c r="A85" t="s">
        <v>23</v>
      </c>
      <c r="B85" t="s">
        <v>83</v>
      </c>
      <c r="C85" s="70" t="s">
        <v>22</v>
      </c>
      <c r="D85" s="70"/>
      <c r="E85" s="3">
        <f t="shared" si="2"/>
        <v>69</v>
      </c>
      <c r="F85" s="15">
        <v>57.7</v>
      </c>
      <c r="G85" s="15">
        <v>1.1000000000000001</v>
      </c>
      <c r="H85" s="15">
        <f t="shared" si="1"/>
        <v>56.6</v>
      </c>
      <c r="I85" s="4" t="s">
        <v>20</v>
      </c>
    </row>
    <row r="86" spans="1:9" x14ac:dyDescent="0.25">
      <c r="A86" t="s">
        <v>23</v>
      </c>
      <c r="B86" t="s">
        <v>83</v>
      </c>
      <c r="C86" s="70" t="s">
        <v>22</v>
      </c>
      <c r="D86" s="70"/>
      <c r="E86" s="3">
        <f t="shared" si="2"/>
        <v>70</v>
      </c>
      <c r="F86" s="15">
        <v>42</v>
      </c>
      <c r="G86" s="15">
        <v>1.4</v>
      </c>
      <c r="H86" s="15">
        <f t="shared" si="1"/>
        <v>40.6</v>
      </c>
      <c r="I86" s="4" t="s">
        <v>20</v>
      </c>
    </row>
    <row r="87" spans="1:9" x14ac:dyDescent="0.25">
      <c r="A87" t="s">
        <v>23</v>
      </c>
      <c r="B87" t="s">
        <v>83</v>
      </c>
      <c r="C87" s="70" t="s">
        <v>22</v>
      </c>
      <c r="D87" s="70"/>
      <c r="E87" s="3">
        <f t="shared" si="2"/>
        <v>71</v>
      </c>
      <c r="F87" s="15">
        <v>43</v>
      </c>
      <c r="G87" s="15">
        <v>1.2</v>
      </c>
      <c r="H87" s="15">
        <f t="shared" si="1"/>
        <v>41.8</v>
      </c>
      <c r="I87" s="4" t="s">
        <v>20</v>
      </c>
    </row>
    <row r="88" spans="1:9" x14ac:dyDescent="0.25">
      <c r="A88" t="s">
        <v>23</v>
      </c>
      <c r="B88" t="s">
        <v>83</v>
      </c>
      <c r="C88" s="70" t="s">
        <v>22</v>
      </c>
      <c r="D88" s="70"/>
      <c r="E88" s="3">
        <f t="shared" si="2"/>
        <v>72</v>
      </c>
      <c r="F88" s="15">
        <v>46.7</v>
      </c>
      <c r="G88" s="15">
        <v>0.8</v>
      </c>
      <c r="H88" s="15">
        <f t="shared" si="1"/>
        <v>45.900000000000006</v>
      </c>
      <c r="I88" s="4" t="s">
        <v>20</v>
      </c>
    </row>
    <row r="89" spans="1:9" x14ac:dyDescent="0.25">
      <c r="A89" t="s">
        <v>23</v>
      </c>
      <c r="B89" t="s">
        <v>83</v>
      </c>
      <c r="C89" s="70" t="s">
        <v>22</v>
      </c>
      <c r="D89" s="70"/>
      <c r="E89" s="3">
        <f t="shared" si="2"/>
        <v>73</v>
      </c>
      <c r="F89" s="15">
        <v>46.6</v>
      </c>
      <c r="G89" s="15">
        <v>0.9</v>
      </c>
      <c r="H89" s="15">
        <f t="shared" si="1"/>
        <v>45.7</v>
      </c>
      <c r="I89" s="4" t="s">
        <v>20</v>
      </c>
    </row>
    <row r="90" spans="1:9" x14ac:dyDescent="0.25">
      <c r="A90" t="s">
        <v>23</v>
      </c>
      <c r="B90" t="s">
        <v>83</v>
      </c>
      <c r="C90" s="70" t="s">
        <v>22</v>
      </c>
      <c r="D90" s="70"/>
      <c r="E90" s="3">
        <f t="shared" si="2"/>
        <v>74</v>
      </c>
      <c r="F90" s="15">
        <v>43.4</v>
      </c>
      <c r="G90" s="15">
        <v>0.8</v>
      </c>
      <c r="H90" s="15">
        <f t="shared" si="1"/>
        <v>42.6</v>
      </c>
      <c r="I90" s="4" t="s">
        <v>20</v>
      </c>
    </row>
    <row r="91" spans="1:9" x14ac:dyDescent="0.25">
      <c r="A91" t="s">
        <v>23</v>
      </c>
      <c r="B91" t="s">
        <v>83</v>
      </c>
      <c r="C91" s="70" t="s">
        <v>22</v>
      </c>
      <c r="D91" s="70"/>
      <c r="E91" s="3">
        <f t="shared" si="2"/>
        <v>75</v>
      </c>
      <c r="F91" s="15">
        <v>45.3</v>
      </c>
      <c r="G91" s="15">
        <v>1.1000000000000001</v>
      </c>
      <c r="H91" s="15">
        <f t="shared" si="1"/>
        <v>44.199999999999996</v>
      </c>
      <c r="I91" s="4" t="s">
        <v>20</v>
      </c>
    </row>
    <row r="92" spans="1:9" x14ac:dyDescent="0.25">
      <c r="A92" t="s">
        <v>23</v>
      </c>
      <c r="B92" t="s">
        <v>83</v>
      </c>
      <c r="C92" s="70" t="s">
        <v>22</v>
      </c>
      <c r="D92" s="70"/>
      <c r="E92" s="3">
        <f t="shared" si="2"/>
        <v>76</v>
      </c>
      <c r="F92" s="15">
        <v>47.4</v>
      </c>
      <c r="G92" s="15">
        <v>1.3</v>
      </c>
      <c r="H92" s="15">
        <f t="shared" si="1"/>
        <v>46.1</v>
      </c>
      <c r="I92" s="4" t="s">
        <v>20</v>
      </c>
    </row>
    <row r="93" spans="1:9" x14ac:dyDescent="0.25">
      <c r="A93" t="s">
        <v>23</v>
      </c>
      <c r="B93" t="s">
        <v>83</v>
      </c>
      <c r="C93" s="70" t="s">
        <v>22</v>
      </c>
      <c r="D93" s="70"/>
      <c r="E93" s="3">
        <f t="shared" si="2"/>
        <v>77</v>
      </c>
      <c r="F93" s="15">
        <v>45</v>
      </c>
      <c r="G93" s="15">
        <v>1.7</v>
      </c>
      <c r="H93" s="15">
        <f t="shared" si="1"/>
        <v>43.3</v>
      </c>
      <c r="I93" s="4" t="s">
        <v>20</v>
      </c>
    </row>
    <row r="94" spans="1:9" x14ac:dyDescent="0.25">
      <c r="A94" t="s">
        <v>23</v>
      </c>
      <c r="B94" t="s">
        <v>83</v>
      </c>
      <c r="C94" s="70" t="s">
        <v>22</v>
      </c>
      <c r="D94" s="70"/>
      <c r="E94" s="3">
        <f t="shared" si="2"/>
        <v>78</v>
      </c>
      <c r="F94" s="15">
        <v>48.7</v>
      </c>
      <c r="G94" s="15">
        <v>1.9</v>
      </c>
      <c r="H94" s="15">
        <f t="shared" si="1"/>
        <v>46.800000000000004</v>
      </c>
      <c r="I94" s="4" t="s">
        <v>20</v>
      </c>
    </row>
    <row r="95" spans="1:9" x14ac:dyDescent="0.25">
      <c r="A95" t="s">
        <v>23</v>
      </c>
      <c r="B95" t="s">
        <v>83</v>
      </c>
      <c r="C95" s="70" t="s">
        <v>22</v>
      </c>
      <c r="D95" s="70"/>
      <c r="E95" s="3">
        <f t="shared" si="2"/>
        <v>79</v>
      </c>
      <c r="F95" s="15">
        <v>45.6</v>
      </c>
      <c r="G95" s="15">
        <v>1.1000000000000001</v>
      </c>
      <c r="H95" s="15">
        <f t="shared" si="1"/>
        <v>44.5</v>
      </c>
      <c r="I95" s="4" t="s">
        <v>20</v>
      </c>
    </row>
    <row r="96" spans="1:9" x14ac:dyDescent="0.25">
      <c r="A96" t="s">
        <v>23</v>
      </c>
      <c r="B96" t="s">
        <v>83</v>
      </c>
      <c r="C96" s="70" t="s">
        <v>22</v>
      </c>
      <c r="D96" s="70"/>
      <c r="E96" s="3">
        <f t="shared" si="2"/>
        <v>80</v>
      </c>
      <c r="F96" s="15">
        <v>45.5</v>
      </c>
      <c r="G96" s="15">
        <v>1.1000000000000001</v>
      </c>
      <c r="H96" s="15">
        <f t="shared" si="1"/>
        <v>44.4</v>
      </c>
      <c r="I96" s="4" t="s">
        <v>20</v>
      </c>
    </row>
    <row r="97" spans="1:14" x14ac:dyDescent="0.25">
      <c r="A97" t="s">
        <v>23</v>
      </c>
      <c r="B97" t="s">
        <v>83</v>
      </c>
      <c r="C97" s="70" t="s">
        <v>22</v>
      </c>
      <c r="D97" s="70"/>
      <c r="E97" s="3">
        <f t="shared" si="2"/>
        <v>81</v>
      </c>
      <c r="F97" s="15">
        <v>46.3</v>
      </c>
      <c r="G97" s="15">
        <v>1.1000000000000001</v>
      </c>
      <c r="H97" s="15">
        <f t="shared" si="1"/>
        <v>45.199999999999996</v>
      </c>
      <c r="I97" s="4" t="s">
        <v>20</v>
      </c>
    </row>
    <row r="98" spans="1:14" x14ac:dyDescent="0.25">
      <c r="A98" t="s">
        <v>23</v>
      </c>
      <c r="B98" t="s">
        <v>83</v>
      </c>
      <c r="C98" s="70" t="s">
        <v>22</v>
      </c>
      <c r="D98" s="70"/>
      <c r="E98" s="3">
        <f t="shared" si="2"/>
        <v>82</v>
      </c>
      <c r="F98" s="15">
        <v>44.7</v>
      </c>
      <c r="G98" s="15">
        <v>1.1000000000000001</v>
      </c>
      <c r="H98" s="15">
        <f t="shared" si="1"/>
        <v>43.6</v>
      </c>
      <c r="I98" s="4" t="s">
        <v>20</v>
      </c>
    </row>
    <row r="99" spans="1:14" x14ac:dyDescent="0.25">
      <c r="A99" t="s">
        <v>23</v>
      </c>
      <c r="B99" t="s">
        <v>83</v>
      </c>
      <c r="C99" s="70" t="s">
        <v>22</v>
      </c>
      <c r="D99" s="70"/>
      <c r="E99" s="3">
        <f t="shared" si="2"/>
        <v>83</v>
      </c>
      <c r="F99" s="15">
        <v>48.5</v>
      </c>
      <c r="G99" s="15">
        <v>1.4</v>
      </c>
      <c r="H99" s="15">
        <f t="shared" si="1"/>
        <v>47.1</v>
      </c>
      <c r="I99" s="4" t="s">
        <v>20</v>
      </c>
    </row>
    <row r="100" spans="1:14" x14ac:dyDescent="0.25">
      <c r="A100" t="s">
        <v>23</v>
      </c>
      <c r="B100" t="s">
        <v>83</v>
      </c>
      <c r="C100" s="70" t="s">
        <v>22</v>
      </c>
      <c r="D100" s="70"/>
      <c r="E100" s="3">
        <f t="shared" si="2"/>
        <v>84</v>
      </c>
      <c r="F100" s="15">
        <v>49.6</v>
      </c>
      <c r="G100" s="15">
        <v>1.2</v>
      </c>
      <c r="H100" s="15">
        <f t="shared" si="1"/>
        <v>48.4</v>
      </c>
      <c r="I100" s="4" t="s">
        <v>20</v>
      </c>
    </row>
    <row r="101" spans="1:14" x14ac:dyDescent="0.25">
      <c r="A101" t="s">
        <v>23</v>
      </c>
      <c r="B101" t="s">
        <v>83</v>
      </c>
      <c r="C101" s="70" t="s">
        <v>22</v>
      </c>
      <c r="D101" s="70"/>
      <c r="E101" s="3">
        <f t="shared" si="2"/>
        <v>85</v>
      </c>
      <c r="F101" s="15">
        <v>46.3</v>
      </c>
      <c r="G101" s="15">
        <v>0.8</v>
      </c>
      <c r="H101" s="15">
        <f t="shared" si="1"/>
        <v>45.5</v>
      </c>
      <c r="I101" s="4" t="s">
        <v>20</v>
      </c>
    </row>
    <row r="102" spans="1:14" x14ac:dyDescent="0.25">
      <c r="A102" t="s">
        <v>23</v>
      </c>
      <c r="B102" t="s">
        <v>83</v>
      </c>
      <c r="C102" s="70" t="s">
        <v>22</v>
      </c>
      <c r="D102" s="70"/>
      <c r="E102" s="3">
        <f t="shared" si="2"/>
        <v>86</v>
      </c>
      <c r="F102" s="15">
        <v>50.6</v>
      </c>
      <c r="G102" s="15">
        <v>0.9</v>
      </c>
      <c r="H102" s="15">
        <f t="shared" si="1"/>
        <v>49.7</v>
      </c>
      <c r="I102" s="4" t="s">
        <v>20</v>
      </c>
    </row>
    <row r="103" spans="1:14" x14ac:dyDescent="0.25">
      <c r="A103" t="s">
        <v>23</v>
      </c>
      <c r="B103" t="s">
        <v>83</v>
      </c>
      <c r="C103" s="70" t="s">
        <v>22</v>
      </c>
      <c r="D103" s="70"/>
      <c r="E103" s="3">
        <f t="shared" si="2"/>
        <v>87</v>
      </c>
      <c r="F103" s="15">
        <v>46.4</v>
      </c>
      <c r="G103" s="15">
        <v>1.6</v>
      </c>
      <c r="H103" s="15">
        <f t="shared" si="1"/>
        <v>44.8</v>
      </c>
      <c r="I103" s="4" t="s">
        <v>20</v>
      </c>
      <c r="N103" s="15"/>
    </row>
    <row r="104" spans="1:14" x14ac:dyDescent="0.25">
      <c r="A104" t="s">
        <v>23</v>
      </c>
      <c r="B104" t="s">
        <v>83</v>
      </c>
      <c r="C104" s="70" t="s">
        <v>22</v>
      </c>
      <c r="D104" s="70"/>
      <c r="E104" s="3">
        <f t="shared" si="2"/>
        <v>88</v>
      </c>
      <c r="F104" s="15">
        <v>45.3</v>
      </c>
      <c r="G104" s="15">
        <v>1.4</v>
      </c>
      <c r="H104" s="15">
        <f t="shared" si="1"/>
        <v>43.9</v>
      </c>
      <c r="I104" s="4" t="s">
        <v>20</v>
      </c>
    </row>
    <row r="105" spans="1:14" x14ac:dyDescent="0.25">
      <c r="A105" t="s">
        <v>23</v>
      </c>
      <c r="B105" t="s">
        <v>83</v>
      </c>
      <c r="C105" s="70" t="s">
        <v>22</v>
      </c>
      <c r="D105" s="70"/>
      <c r="E105" s="3">
        <f t="shared" si="2"/>
        <v>89</v>
      </c>
      <c r="F105" s="15">
        <v>49.4</v>
      </c>
      <c r="G105" s="15">
        <v>1.8</v>
      </c>
      <c r="H105" s="15">
        <f t="shared" si="1"/>
        <v>47.6</v>
      </c>
      <c r="I105" s="4" t="s">
        <v>20</v>
      </c>
    </row>
    <row r="106" spans="1:14" x14ac:dyDescent="0.25">
      <c r="A106" t="s">
        <v>23</v>
      </c>
      <c r="B106" t="s">
        <v>83</v>
      </c>
      <c r="C106" s="70" t="s">
        <v>22</v>
      </c>
      <c r="D106" s="70"/>
      <c r="E106" s="3">
        <f t="shared" si="2"/>
        <v>90</v>
      </c>
      <c r="F106" s="15">
        <v>45.6</v>
      </c>
      <c r="G106" s="15">
        <v>1.8</v>
      </c>
      <c r="H106" s="15">
        <f t="shared" si="1"/>
        <v>43.800000000000004</v>
      </c>
      <c r="I106" s="4" t="s">
        <v>20</v>
      </c>
    </row>
    <row r="107" spans="1:14" x14ac:dyDescent="0.25">
      <c r="A107" t="s">
        <v>23</v>
      </c>
      <c r="B107" t="s">
        <v>83</v>
      </c>
      <c r="C107" s="70" t="s">
        <v>22</v>
      </c>
      <c r="D107" s="70"/>
      <c r="E107" s="3">
        <f t="shared" si="2"/>
        <v>91</v>
      </c>
      <c r="F107" s="15">
        <v>44.6</v>
      </c>
      <c r="G107" s="15">
        <v>1.5</v>
      </c>
      <c r="H107" s="15">
        <f t="shared" si="1"/>
        <v>43.1</v>
      </c>
      <c r="I107" s="4" t="s">
        <v>20</v>
      </c>
    </row>
    <row r="108" spans="1:14" x14ac:dyDescent="0.25">
      <c r="A108" t="s">
        <v>23</v>
      </c>
      <c r="B108" t="s">
        <v>83</v>
      </c>
      <c r="C108" s="70" t="s">
        <v>22</v>
      </c>
      <c r="D108" s="70"/>
      <c r="E108" s="3">
        <f t="shared" si="2"/>
        <v>92</v>
      </c>
      <c r="F108" s="15">
        <v>45.5</v>
      </c>
      <c r="G108" s="15">
        <v>1.6</v>
      </c>
      <c r="H108" s="15">
        <f t="shared" si="1"/>
        <v>43.9</v>
      </c>
      <c r="I108" s="4" t="s">
        <v>20</v>
      </c>
    </row>
    <row r="109" spans="1:14" x14ac:dyDescent="0.25">
      <c r="A109" t="s">
        <v>23</v>
      </c>
      <c r="B109" t="s">
        <v>83</v>
      </c>
      <c r="C109" s="70" t="s">
        <v>22</v>
      </c>
      <c r="D109" s="70"/>
      <c r="E109" s="3">
        <f t="shared" si="2"/>
        <v>93</v>
      </c>
      <c r="F109" s="15">
        <v>47.8</v>
      </c>
      <c r="G109" s="15">
        <v>1.6</v>
      </c>
      <c r="H109" s="15">
        <f t="shared" si="1"/>
        <v>46.199999999999996</v>
      </c>
      <c r="I109" s="4" t="s">
        <v>20</v>
      </c>
    </row>
    <row r="110" spans="1:14" x14ac:dyDescent="0.25">
      <c r="A110" t="s">
        <v>23</v>
      </c>
      <c r="B110" t="s">
        <v>83</v>
      </c>
      <c r="C110" s="70" t="s">
        <v>22</v>
      </c>
      <c r="D110" s="70"/>
      <c r="E110" s="3">
        <f t="shared" si="2"/>
        <v>94</v>
      </c>
      <c r="F110" s="15">
        <v>48.6</v>
      </c>
      <c r="G110" s="15">
        <v>1.3</v>
      </c>
      <c r="H110" s="15">
        <f t="shared" si="1"/>
        <v>47.300000000000004</v>
      </c>
      <c r="I110" s="4" t="s">
        <v>20</v>
      </c>
    </row>
    <row r="111" spans="1:14" x14ac:dyDescent="0.25">
      <c r="A111" t="s">
        <v>23</v>
      </c>
      <c r="B111" t="s">
        <v>83</v>
      </c>
      <c r="C111" s="70" t="s">
        <v>22</v>
      </c>
      <c r="D111" s="70"/>
      <c r="E111" s="3">
        <f t="shared" si="2"/>
        <v>95</v>
      </c>
      <c r="F111" s="15">
        <v>46.5</v>
      </c>
      <c r="G111" s="15">
        <v>1.2</v>
      </c>
      <c r="H111" s="15">
        <f t="shared" si="1"/>
        <v>45.3</v>
      </c>
      <c r="I111" s="4" t="s">
        <v>20</v>
      </c>
    </row>
    <row r="112" spans="1:14" ht="15.75" thickBot="1" x14ac:dyDescent="0.3">
      <c r="A112" t="s">
        <v>23</v>
      </c>
      <c r="B112" t="s">
        <v>83</v>
      </c>
      <c r="C112" s="78" t="s">
        <v>22</v>
      </c>
      <c r="D112" s="78"/>
      <c r="E112" s="3">
        <f t="shared" si="2"/>
        <v>96</v>
      </c>
      <c r="F112" s="15">
        <v>46</v>
      </c>
      <c r="G112" s="15">
        <v>1.1000000000000001</v>
      </c>
      <c r="H112" s="15">
        <f>F112-G112</f>
        <v>44.9</v>
      </c>
      <c r="I112" s="4" t="s">
        <v>20</v>
      </c>
    </row>
    <row r="113" spans="1:9" ht="16.5" thickTop="1" thickBot="1" x14ac:dyDescent="0.3">
      <c r="A113" s="75" t="s">
        <v>27</v>
      </c>
      <c r="B113" s="75"/>
      <c r="C113" s="75"/>
      <c r="D113" s="75"/>
      <c r="E113" s="12">
        <f>E112</f>
        <v>96</v>
      </c>
      <c r="F113" s="14">
        <f>SUM(F17:F112)</f>
        <v>4156.3999999999996</v>
      </c>
      <c r="G113" s="14">
        <f>SUM(G17:G112)</f>
        <v>127.49999999999996</v>
      </c>
      <c r="H113" s="14">
        <f>SUM(H17:H112)</f>
        <v>4028.9</v>
      </c>
      <c r="I113" s="13"/>
    </row>
    <row r="114" spans="1:9" ht="6.75" customHeight="1" thickTop="1" x14ac:dyDescent="0.25"/>
    <row r="115" spans="1:9" ht="15.75" thickBot="1" x14ac:dyDescent="0.3">
      <c r="A115" s="1" t="s">
        <v>29</v>
      </c>
    </row>
    <row r="116" spans="1:9" ht="30" customHeight="1" thickTop="1" thickBot="1" x14ac:dyDescent="0.3">
      <c r="A116" s="9" t="s">
        <v>7</v>
      </c>
      <c r="B116" s="9" t="s">
        <v>2</v>
      </c>
      <c r="C116" s="10" t="s">
        <v>103</v>
      </c>
      <c r="D116" s="10" t="s">
        <v>6</v>
      </c>
      <c r="E116" s="11" t="s">
        <v>30</v>
      </c>
      <c r="F116" s="11" t="s">
        <v>31</v>
      </c>
      <c r="G116" s="11" t="s">
        <v>32</v>
      </c>
      <c r="H116" s="11" t="s">
        <v>33</v>
      </c>
      <c r="I116" s="11" t="s">
        <v>37</v>
      </c>
    </row>
    <row r="117" spans="1:9" ht="16.5" thickTop="1" thickBot="1" x14ac:dyDescent="0.3">
      <c r="A117" s="5" t="s">
        <v>23</v>
      </c>
      <c r="B117" s="5" t="s">
        <v>83</v>
      </c>
      <c r="C117" s="35">
        <f>E113</f>
        <v>96</v>
      </c>
      <c r="D117" s="35" t="s">
        <v>22</v>
      </c>
      <c r="E117" s="15">
        <v>3011.9</v>
      </c>
      <c r="F117" s="15">
        <v>916.5</v>
      </c>
      <c r="G117" s="15">
        <v>54.5</v>
      </c>
      <c r="H117" s="15">
        <f>H113-(E117+F117+G117)</f>
        <v>46</v>
      </c>
      <c r="I117" s="15">
        <f>SUM(E117:H117)</f>
        <v>4028.9</v>
      </c>
    </row>
    <row r="118" spans="1:9" ht="16.5" thickTop="1" thickBot="1" x14ac:dyDescent="0.3">
      <c r="A118" s="79" t="s">
        <v>52</v>
      </c>
      <c r="B118" s="79"/>
      <c r="C118" s="79"/>
      <c r="D118" s="79"/>
      <c r="E118" s="20">
        <f>E117/$H$113</f>
        <v>0.74757377944352055</v>
      </c>
      <c r="F118" s="23">
        <f>F117/$H$113</f>
        <v>0.22748144654868574</v>
      </c>
      <c r="G118" s="23">
        <f>G117/$H$113</f>
        <v>1.352726550671399E-2</v>
      </c>
      <c r="H118" s="23">
        <f>H117/$H$113</f>
        <v>1.1417508501079698E-2</v>
      </c>
      <c r="I118" s="17">
        <f>SUM(E118:H118)</f>
        <v>1</v>
      </c>
    </row>
    <row r="119" spans="1:9" ht="15.75" thickTop="1" x14ac:dyDescent="0.25">
      <c r="A119" s="19" t="s">
        <v>16</v>
      </c>
    </row>
    <row r="120" spans="1:9" ht="10.5" customHeight="1" x14ac:dyDescent="0.25">
      <c r="A120" s="7" t="s">
        <v>36</v>
      </c>
    </row>
    <row r="121" spans="1:9" ht="10.5" customHeight="1" x14ac:dyDescent="0.25">
      <c r="A121" s="7" t="s">
        <v>35</v>
      </c>
    </row>
    <row r="122" spans="1:9" ht="10.5" customHeight="1" x14ac:dyDescent="0.25">
      <c r="A122" s="7" t="s">
        <v>34</v>
      </c>
    </row>
    <row r="123" spans="1:9" ht="10.5" customHeight="1" x14ac:dyDescent="0.25">
      <c r="A123" s="7" t="s">
        <v>50</v>
      </c>
    </row>
    <row r="124" spans="1:9" ht="6" customHeight="1" x14ac:dyDescent="0.25"/>
    <row r="125" spans="1:9" ht="15.75" thickBot="1" x14ac:dyDescent="0.3">
      <c r="A125" s="1" t="s">
        <v>54</v>
      </c>
      <c r="B125" s="1" t="s">
        <v>104</v>
      </c>
      <c r="C125" s="1"/>
    </row>
    <row r="126" spans="1:9" ht="16.5" thickTop="1" thickBot="1" x14ac:dyDescent="0.3">
      <c r="A126" s="9" t="s">
        <v>7</v>
      </c>
      <c r="B126" s="9" t="s">
        <v>2</v>
      </c>
      <c r="C126" s="73" t="s">
        <v>6</v>
      </c>
      <c r="D126" s="73"/>
      <c r="E126" s="10" t="s">
        <v>25</v>
      </c>
      <c r="F126" s="10" t="s">
        <v>3</v>
      </c>
      <c r="G126" s="10" t="s">
        <v>4</v>
      </c>
      <c r="H126" s="10" t="s">
        <v>5</v>
      </c>
      <c r="I126" s="11" t="s">
        <v>26</v>
      </c>
    </row>
    <row r="127" spans="1:9" ht="15.75" thickTop="1" x14ac:dyDescent="0.25">
      <c r="A127" t="s">
        <v>23</v>
      </c>
      <c r="B127" t="s">
        <v>84</v>
      </c>
      <c r="C127" s="74" t="s">
        <v>22</v>
      </c>
      <c r="D127" s="74"/>
      <c r="E127" s="3">
        <v>1</v>
      </c>
      <c r="F127" s="15">
        <v>43.7</v>
      </c>
      <c r="G127" s="15">
        <v>1.7</v>
      </c>
      <c r="H127" s="15">
        <f>F127-G127</f>
        <v>42</v>
      </c>
      <c r="I127" s="4" t="s">
        <v>20</v>
      </c>
    </row>
    <row r="128" spans="1:9" x14ac:dyDescent="0.25">
      <c r="A128" t="s">
        <v>23</v>
      </c>
      <c r="B128" t="s">
        <v>84</v>
      </c>
      <c r="C128" s="70" t="s">
        <v>22</v>
      </c>
      <c r="D128" s="70"/>
      <c r="E128" s="3">
        <f>E127+1</f>
        <v>2</v>
      </c>
      <c r="F128" s="15">
        <v>50.5</v>
      </c>
      <c r="G128" s="15">
        <v>1.7</v>
      </c>
      <c r="H128" s="15">
        <f t="shared" ref="H128:H191" si="4">F128-G128</f>
        <v>48.8</v>
      </c>
      <c r="I128" s="4" t="s">
        <v>20</v>
      </c>
    </row>
    <row r="129" spans="1:9" x14ac:dyDescent="0.25">
      <c r="A129" t="s">
        <v>23</v>
      </c>
      <c r="B129" t="s">
        <v>84</v>
      </c>
      <c r="C129" s="70" t="s">
        <v>22</v>
      </c>
      <c r="D129" s="70"/>
      <c r="E129" s="3">
        <f t="shared" ref="E129:E192" si="5">E128+1</f>
        <v>3</v>
      </c>
      <c r="F129" s="15">
        <v>41.7</v>
      </c>
      <c r="G129" s="15">
        <v>1.2</v>
      </c>
      <c r="H129" s="15">
        <f t="shared" si="4"/>
        <v>40.5</v>
      </c>
      <c r="I129" s="4" t="s">
        <v>20</v>
      </c>
    </row>
    <row r="130" spans="1:9" x14ac:dyDescent="0.25">
      <c r="A130" t="s">
        <v>23</v>
      </c>
      <c r="B130" t="s">
        <v>84</v>
      </c>
      <c r="C130" s="70" t="s">
        <v>22</v>
      </c>
      <c r="D130" s="70"/>
      <c r="E130" s="3">
        <f t="shared" si="5"/>
        <v>4</v>
      </c>
      <c r="F130" s="15">
        <v>69</v>
      </c>
      <c r="G130" s="15">
        <v>1</v>
      </c>
      <c r="H130" s="15">
        <f t="shared" si="4"/>
        <v>68</v>
      </c>
      <c r="I130" s="4" t="s">
        <v>20</v>
      </c>
    </row>
    <row r="131" spans="1:9" x14ac:dyDescent="0.25">
      <c r="A131" t="s">
        <v>23</v>
      </c>
      <c r="B131" t="s">
        <v>84</v>
      </c>
      <c r="C131" s="70" t="s">
        <v>22</v>
      </c>
      <c r="D131" s="70"/>
      <c r="E131" s="3">
        <f t="shared" si="5"/>
        <v>5</v>
      </c>
      <c r="F131" s="15">
        <v>49.1</v>
      </c>
      <c r="G131" s="15">
        <v>1.1000000000000001</v>
      </c>
      <c r="H131" s="15">
        <f t="shared" si="4"/>
        <v>48</v>
      </c>
      <c r="I131" s="4" t="s">
        <v>20</v>
      </c>
    </row>
    <row r="132" spans="1:9" x14ac:dyDescent="0.25">
      <c r="A132" t="s">
        <v>23</v>
      </c>
      <c r="B132" t="s">
        <v>84</v>
      </c>
      <c r="C132" s="70" t="s">
        <v>22</v>
      </c>
      <c r="D132" s="70"/>
      <c r="E132" s="3">
        <f t="shared" si="5"/>
        <v>6</v>
      </c>
      <c r="F132" s="15">
        <v>49.3</v>
      </c>
      <c r="G132" s="15">
        <v>1.8</v>
      </c>
      <c r="H132" s="15">
        <f t="shared" si="4"/>
        <v>47.5</v>
      </c>
      <c r="I132" s="4" t="s">
        <v>20</v>
      </c>
    </row>
    <row r="133" spans="1:9" x14ac:dyDescent="0.25">
      <c r="A133" t="s">
        <v>23</v>
      </c>
      <c r="B133" t="s">
        <v>84</v>
      </c>
      <c r="C133" s="70" t="s">
        <v>22</v>
      </c>
      <c r="D133" s="70"/>
      <c r="E133" s="3">
        <f t="shared" si="5"/>
        <v>7</v>
      </c>
      <c r="F133" s="15">
        <v>53.8</v>
      </c>
      <c r="G133" s="15">
        <v>0.9</v>
      </c>
      <c r="H133" s="15">
        <f t="shared" si="4"/>
        <v>52.9</v>
      </c>
      <c r="I133" s="4" t="s">
        <v>20</v>
      </c>
    </row>
    <row r="134" spans="1:9" x14ac:dyDescent="0.25">
      <c r="A134" t="s">
        <v>23</v>
      </c>
      <c r="B134" t="s">
        <v>84</v>
      </c>
      <c r="C134" s="70" t="s">
        <v>22</v>
      </c>
      <c r="D134" s="70"/>
      <c r="E134" s="3">
        <f t="shared" si="5"/>
        <v>8</v>
      </c>
      <c r="F134" s="15">
        <v>53.2</v>
      </c>
      <c r="G134" s="15">
        <v>1.4</v>
      </c>
      <c r="H134" s="15">
        <f t="shared" si="4"/>
        <v>51.800000000000004</v>
      </c>
      <c r="I134" s="4" t="s">
        <v>20</v>
      </c>
    </row>
    <row r="135" spans="1:9" x14ac:dyDescent="0.25">
      <c r="A135" t="s">
        <v>23</v>
      </c>
      <c r="B135" t="s">
        <v>84</v>
      </c>
      <c r="C135" s="70" t="s">
        <v>22</v>
      </c>
      <c r="D135" s="70"/>
      <c r="E135" s="3">
        <f t="shared" si="5"/>
        <v>9</v>
      </c>
      <c r="F135" s="15">
        <v>52.4</v>
      </c>
      <c r="G135" s="15">
        <v>1.8</v>
      </c>
      <c r="H135" s="15">
        <f t="shared" si="4"/>
        <v>50.6</v>
      </c>
      <c r="I135" s="4" t="s">
        <v>20</v>
      </c>
    </row>
    <row r="136" spans="1:9" x14ac:dyDescent="0.25">
      <c r="A136" t="s">
        <v>23</v>
      </c>
      <c r="B136" t="s">
        <v>84</v>
      </c>
      <c r="C136" s="70" t="s">
        <v>22</v>
      </c>
      <c r="D136" s="70"/>
      <c r="E136" s="3">
        <f t="shared" si="5"/>
        <v>10</v>
      </c>
      <c r="F136" s="15">
        <v>39.4</v>
      </c>
      <c r="G136" s="15">
        <v>1.1000000000000001</v>
      </c>
      <c r="H136" s="15">
        <f t="shared" si="4"/>
        <v>38.299999999999997</v>
      </c>
      <c r="I136" s="4" t="s">
        <v>20</v>
      </c>
    </row>
    <row r="137" spans="1:9" x14ac:dyDescent="0.25">
      <c r="A137" t="s">
        <v>23</v>
      </c>
      <c r="B137" t="s">
        <v>84</v>
      </c>
      <c r="C137" s="70" t="s">
        <v>22</v>
      </c>
      <c r="D137" s="70"/>
      <c r="E137" s="3">
        <f t="shared" si="5"/>
        <v>11</v>
      </c>
      <c r="F137" s="15">
        <v>61.6</v>
      </c>
      <c r="G137" s="15">
        <v>1.8</v>
      </c>
      <c r="H137" s="15">
        <f t="shared" si="4"/>
        <v>59.800000000000004</v>
      </c>
      <c r="I137" s="4" t="s">
        <v>20</v>
      </c>
    </row>
    <row r="138" spans="1:9" x14ac:dyDescent="0.25">
      <c r="A138" t="s">
        <v>23</v>
      </c>
      <c r="B138" t="s">
        <v>84</v>
      </c>
      <c r="C138" s="70" t="s">
        <v>22</v>
      </c>
      <c r="D138" s="70"/>
      <c r="E138" s="3">
        <f t="shared" si="5"/>
        <v>12</v>
      </c>
      <c r="F138" s="15">
        <v>51.5</v>
      </c>
      <c r="G138" s="15">
        <v>1.1000000000000001</v>
      </c>
      <c r="H138" s="15">
        <f t="shared" si="4"/>
        <v>50.4</v>
      </c>
      <c r="I138" s="4" t="s">
        <v>20</v>
      </c>
    </row>
    <row r="139" spans="1:9" x14ac:dyDescent="0.25">
      <c r="A139" t="s">
        <v>23</v>
      </c>
      <c r="B139" t="s">
        <v>84</v>
      </c>
      <c r="C139" s="70" t="s">
        <v>22</v>
      </c>
      <c r="D139" s="70"/>
      <c r="E139" s="3">
        <f t="shared" si="5"/>
        <v>13</v>
      </c>
      <c r="F139" s="15">
        <v>34.1</v>
      </c>
      <c r="G139" s="15">
        <v>1.9</v>
      </c>
      <c r="H139" s="15">
        <f t="shared" si="4"/>
        <v>32.200000000000003</v>
      </c>
      <c r="I139" s="4" t="s">
        <v>20</v>
      </c>
    </row>
    <row r="140" spans="1:9" x14ac:dyDescent="0.25">
      <c r="A140" t="s">
        <v>23</v>
      </c>
      <c r="B140" t="s">
        <v>84</v>
      </c>
      <c r="C140" s="70" t="s">
        <v>22</v>
      </c>
      <c r="D140" s="70"/>
      <c r="E140" s="3">
        <f t="shared" si="5"/>
        <v>14</v>
      </c>
      <c r="F140" s="15">
        <v>55.2</v>
      </c>
      <c r="G140" s="15">
        <v>2.1</v>
      </c>
      <c r="H140" s="15">
        <f t="shared" si="4"/>
        <v>53.1</v>
      </c>
      <c r="I140" s="4" t="s">
        <v>20</v>
      </c>
    </row>
    <row r="141" spans="1:9" x14ac:dyDescent="0.25">
      <c r="A141" t="s">
        <v>23</v>
      </c>
      <c r="B141" t="s">
        <v>84</v>
      </c>
      <c r="C141" s="70" t="s">
        <v>22</v>
      </c>
      <c r="D141" s="70"/>
      <c r="E141" s="3">
        <f t="shared" si="5"/>
        <v>15</v>
      </c>
      <c r="F141" s="15">
        <v>46.8</v>
      </c>
      <c r="G141" s="15">
        <v>1</v>
      </c>
      <c r="H141" s="15">
        <f t="shared" si="4"/>
        <v>45.8</v>
      </c>
      <c r="I141" s="4" t="s">
        <v>20</v>
      </c>
    </row>
    <row r="142" spans="1:9" x14ac:dyDescent="0.25">
      <c r="A142" t="s">
        <v>23</v>
      </c>
      <c r="B142" t="s">
        <v>84</v>
      </c>
      <c r="C142" s="70" t="s">
        <v>22</v>
      </c>
      <c r="D142" s="70"/>
      <c r="E142" s="3">
        <f t="shared" si="5"/>
        <v>16</v>
      </c>
      <c r="F142" s="15">
        <v>51.2</v>
      </c>
      <c r="G142" s="15">
        <v>1.4</v>
      </c>
      <c r="H142" s="15">
        <f t="shared" si="4"/>
        <v>49.800000000000004</v>
      </c>
      <c r="I142" s="4" t="s">
        <v>20</v>
      </c>
    </row>
    <row r="143" spans="1:9" x14ac:dyDescent="0.25">
      <c r="A143" t="s">
        <v>23</v>
      </c>
      <c r="B143" t="s">
        <v>84</v>
      </c>
      <c r="C143" s="70" t="s">
        <v>22</v>
      </c>
      <c r="D143" s="70"/>
      <c r="E143" s="3">
        <f t="shared" si="5"/>
        <v>17</v>
      </c>
      <c r="F143" s="15">
        <v>54.6</v>
      </c>
      <c r="G143" s="15">
        <v>1.1000000000000001</v>
      </c>
      <c r="H143" s="15">
        <f t="shared" si="4"/>
        <v>53.5</v>
      </c>
      <c r="I143" s="4" t="s">
        <v>20</v>
      </c>
    </row>
    <row r="144" spans="1:9" x14ac:dyDescent="0.25">
      <c r="A144" t="s">
        <v>23</v>
      </c>
      <c r="B144" t="s">
        <v>84</v>
      </c>
      <c r="C144" s="70" t="s">
        <v>22</v>
      </c>
      <c r="D144" s="70"/>
      <c r="E144" s="3">
        <f t="shared" si="5"/>
        <v>18</v>
      </c>
      <c r="F144" s="15">
        <v>43.5</v>
      </c>
      <c r="G144" s="15">
        <v>1.3</v>
      </c>
      <c r="H144" s="15">
        <f t="shared" si="4"/>
        <v>42.2</v>
      </c>
      <c r="I144" s="4" t="s">
        <v>20</v>
      </c>
    </row>
    <row r="145" spans="1:9" x14ac:dyDescent="0.25">
      <c r="A145" t="s">
        <v>23</v>
      </c>
      <c r="B145" t="s">
        <v>84</v>
      </c>
      <c r="C145" s="70" t="s">
        <v>22</v>
      </c>
      <c r="D145" s="70"/>
      <c r="E145" s="3">
        <f t="shared" si="5"/>
        <v>19</v>
      </c>
      <c r="F145" s="15">
        <v>50.1</v>
      </c>
      <c r="G145" s="15">
        <v>1.5</v>
      </c>
      <c r="H145" s="15">
        <f t="shared" si="4"/>
        <v>48.6</v>
      </c>
      <c r="I145" s="4" t="s">
        <v>20</v>
      </c>
    </row>
    <row r="146" spans="1:9" x14ac:dyDescent="0.25">
      <c r="A146" t="s">
        <v>23</v>
      </c>
      <c r="B146" t="s">
        <v>84</v>
      </c>
      <c r="C146" s="70" t="s">
        <v>22</v>
      </c>
      <c r="D146" s="70"/>
      <c r="E146" s="3">
        <f t="shared" si="5"/>
        <v>20</v>
      </c>
      <c r="F146" s="15">
        <v>44.7</v>
      </c>
      <c r="G146" s="15">
        <v>1.2</v>
      </c>
      <c r="H146" s="15">
        <f t="shared" si="4"/>
        <v>43.5</v>
      </c>
      <c r="I146" s="4" t="s">
        <v>20</v>
      </c>
    </row>
    <row r="147" spans="1:9" x14ac:dyDescent="0.25">
      <c r="A147" t="s">
        <v>23</v>
      </c>
      <c r="B147" t="s">
        <v>84</v>
      </c>
      <c r="C147" s="70" t="s">
        <v>22</v>
      </c>
      <c r="D147" s="70"/>
      <c r="E147" s="3">
        <f t="shared" si="5"/>
        <v>21</v>
      </c>
      <c r="F147" s="15">
        <v>48.7</v>
      </c>
      <c r="G147" s="15">
        <v>1.1000000000000001</v>
      </c>
      <c r="H147" s="15">
        <f t="shared" si="4"/>
        <v>47.6</v>
      </c>
      <c r="I147" s="4" t="s">
        <v>20</v>
      </c>
    </row>
    <row r="148" spans="1:9" x14ac:dyDescent="0.25">
      <c r="A148" t="s">
        <v>23</v>
      </c>
      <c r="B148" t="s">
        <v>84</v>
      </c>
      <c r="C148" s="70" t="s">
        <v>22</v>
      </c>
      <c r="D148" s="70"/>
      <c r="E148" s="3">
        <f t="shared" si="5"/>
        <v>22</v>
      </c>
      <c r="F148" s="15">
        <v>44.8</v>
      </c>
      <c r="G148" s="15">
        <v>1.1000000000000001</v>
      </c>
      <c r="H148" s="15">
        <f t="shared" si="4"/>
        <v>43.699999999999996</v>
      </c>
      <c r="I148" s="4" t="s">
        <v>20</v>
      </c>
    </row>
    <row r="149" spans="1:9" x14ac:dyDescent="0.25">
      <c r="A149" t="s">
        <v>23</v>
      </c>
      <c r="B149" t="s">
        <v>84</v>
      </c>
      <c r="C149" s="70" t="s">
        <v>22</v>
      </c>
      <c r="D149" s="70"/>
      <c r="E149" s="3">
        <f t="shared" si="5"/>
        <v>23</v>
      </c>
      <c r="F149" s="15">
        <v>46.5</v>
      </c>
      <c r="G149" s="15">
        <v>1</v>
      </c>
      <c r="H149" s="15">
        <f t="shared" si="4"/>
        <v>45.5</v>
      </c>
      <c r="I149" s="4" t="s">
        <v>20</v>
      </c>
    </row>
    <row r="150" spans="1:9" x14ac:dyDescent="0.25">
      <c r="A150" t="s">
        <v>23</v>
      </c>
      <c r="B150" t="s">
        <v>84</v>
      </c>
      <c r="C150" s="70" t="s">
        <v>22</v>
      </c>
      <c r="D150" s="70"/>
      <c r="E150" s="3">
        <f t="shared" si="5"/>
        <v>24</v>
      </c>
      <c r="F150" s="15">
        <v>47.4</v>
      </c>
      <c r="G150" s="15">
        <v>1</v>
      </c>
      <c r="H150" s="15">
        <f t="shared" si="4"/>
        <v>46.4</v>
      </c>
      <c r="I150" s="4" t="s">
        <v>20</v>
      </c>
    </row>
    <row r="151" spans="1:9" x14ac:dyDescent="0.25">
      <c r="A151" t="s">
        <v>23</v>
      </c>
      <c r="B151" t="s">
        <v>84</v>
      </c>
      <c r="C151" s="70" t="s">
        <v>22</v>
      </c>
      <c r="D151" s="70"/>
      <c r="E151" s="3">
        <f t="shared" si="5"/>
        <v>25</v>
      </c>
      <c r="F151" s="15">
        <v>49.2</v>
      </c>
      <c r="G151" s="15">
        <v>0.8</v>
      </c>
      <c r="H151" s="15">
        <f t="shared" si="4"/>
        <v>48.400000000000006</v>
      </c>
      <c r="I151" s="4" t="s">
        <v>20</v>
      </c>
    </row>
    <row r="152" spans="1:9" x14ac:dyDescent="0.25">
      <c r="A152" t="s">
        <v>23</v>
      </c>
      <c r="B152" t="s">
        <v>84</v>
      </c>
      <c r="C152" s="70" t="s">
        <v>22</v>
      </c>
      <c r="D152" s="70"/>
      <c r="E152" s="3">
        <f t="shared" si="5"/>
        <v>26</v>
      </c>
      <c r="F152" s="15">
        <v>37.4</v>
      </c>
      <c r="G152" s="15">
        <v>1</v>
      </c>
      <c r="H152" s="15">
        <f t="shared" si="4"/>
        <v>36.4</v>
      </c>
      <c r="I152" s="4" t="s">
        <v>20</v>
      </c>
    </row>
    <row r="153" spans="1:9" x14ac:dyDescent="0.25">
      <c r="A153" t="s">
        <v>23</v>
      </c>
      <c r="B153" t="s">
        <v>84</v>
      </c>
      <c r="C153" s="70" t="s">
        <v>22</v>
      </c>
      <c r="D153" s="70"/>
      <c r="E153" s="3">
        <f t="shared" si="5"/>
        <v>27</v>
      </c>
      <c r="F153" s="15">
        <v>42.2</v>
      </c>
      <c r="G153" s="15">
        <v>1</v>
      </c>
      <c r="H153" s="15">
        <f t="shared" si="4"/>
        <v>41.2</v>
      </c>
      <c r="I153" s="4" t="s">
        <v>20</v>
      </c>
    </row>
    <row r="154" spans="1:9" x14ac:dyDescent="0.25">
      <c r="A154" t="s">
        <v>23</v>
      </c>
      <c r="B154" t="s">
        <v>84</v>
      </c>
      <c r="C154" s="70" t="s">
        <v>22</v>
      </c>
      <c r="D154" s="70"/>
      <c r="E154" s="3">
        <f t="shared" si="5"/>
        <v>28</v>
      </c>
      <c r="F154" s="15">
        <v>47.5</v>
      </c>
      <c r="G154" s="15">
        <v>1.4</v>
      </c>
      <c r="H154" s="15">
        <f t="shared" si="4"/>
        <v>46.1</v>
      </c>
      <c r="I154" s="4" t="s">
        <v>20</v>
      </c>
    </row>
    <row r="155" spans="1:9" x14ac:dyDescent="0.25">
      <c r="A155" t="s">
        <v>23</v>
      </c>
      <c r="B155" t="s">
        <v>84</v>
      </c>
      <c r="C155" s="70" t="s">
        <v>22</v>
      </c>
      <c r="D155" s="70"/>
      <c r="E155" s="3">
        <f t="shared" si="5"/>
        <v>29</v>
      </c>
      <c r="F155" s="15">
        <v>59.6</v>
      </c>
      <c r="G155" s="15">
        <v>1.2</v>
      </c>
      <c r="H155" s="15">
        <f t="shared" si="4"/>
        <v>58.4</v>
      </c>
      <c r="I155" s="4" t="s">
        <v>20</v>
      </c>
    </row>
    <row r="156" spans="1:9" x14ac:dyDescent="0.25">
      <c r="A156" t="s">
        <v>23</v>
      </c>
      <c r="B156" t="s">
        <v>84</v>
      </c>
      <c r="C156" s="70" t="s">
        <v>22</v>
      </c>
      <c r="D156" s="70"/>
      <c r="E156" s="3">
        <f t="shared" si="5"/>
        <v>30</v>
      </c>
      <c r="F156" s="15">
        <v>49.1</v>
      </c>
      <c r="G156" s="15">
        <v>1.1000000000000001</v>
      </c>
      <c r="H156" s="15">
        <f t="shared" si="4"/>
        <v>48</v>
      </c>
      <c r="I156" s="4" t="s">
        <v>20</v>
      </c>
    </row>
    <row r="157" spans="1:9" x14ac:dyDescent="0.25">
      <c r="A157" t="s">
        <v>23</v>
      </c>
      <c r="B157" t="s">
        <v>84</v>
      </c>
      <c r="C157" s="70" t="s">
        <v>22</v>
      </c>
      <c r="D157" s="70"/>
      <c r="E157" s="3">
        <f t="shared" si="5"/>
        <v>31</v>
      </c>
      <c r="F157" s="15">
        <v>43.3</v>
      </c>
      <c r="G157" s="15">
        <v>1.6</v>
      </c>
      <c r="H157" s="15">
        <f t="shared" si="4"/>
        <v>41.699999999999996</v>
      </c>
      <c r="I157" s="4" t="s">
        <v>20</v>
      </c>
    </row>
    <row r="158" spans="1:9" x14ac:dyDescent="0.25">
      <c r="A158" t="s">
        <v>23</v>
      </c>
      <c r="B158" t="s">
        <v>84</v>
      </c>
      <c r="C158" s="70" t="s">
        <v>22</v>
      </c>
      <c r="D158" s="70"/>
      <c r="E158" s="3">
        <f t="shared" si="5"/>
        <v>32</v>
      </c>
      <c r="F158" s="15">
        <v>48.4</v>
      </c>
      <c r="G158" s="15">
        <v>1.3</v>
      </c>
      <c r="H158" s="15">
        <f t="shared" si="4"/>
        <v>47.1</v>
      </c>
      <c r="I158" s="4" t="s">
        <v>20</v>
      </c>
    </row>
    <row r="159" spans="1:9" x14ac:dyDescent="0.25">
      <c r="A159" t="s">
        <v>23</v>
      </c>
      <c r="B159" t="s">
        <v>84</v>
      </c>
      <c r="C159" s="70" t="s">
        <v>22</v>
      </c>
      <c r="D159" s="70"/>
      <c r="E159" s="3">
        <f t="shared" si="5"/>
        <v>33</v>
      </c>
      <c r="F159" s="15">
        <v>42.2</v>
      </c>
      <c r="G159" s="15">
        <v>1.2</v>
      </c>
      <c r="H159" s="15">
        <f t="shared" si="4"/>
        <v>41</v>
      </c>
      <c r="I159" s="4" t="s">
        <v>20</v>
      </c>
    </row>
    <row r="160" spans="1:9" x14ac:dyDescent="0.25">
      <c r="A160" t="s">
        <v>23</v>
      </c>
      <c r="B160" t="s">
        <v>84</v>
      </c>
      <c r="C160" s="70" t="s">
        <v>22</v>
      </c>
      <c r="D160" s="70"/>
      <c r="E160" s="3">
        <f t="shared" si="5"/>
        <v>34</v>
      </c>
      <c r="F160" s="15">
        <v>50.1</v>
      </c>
      <c r="G160" s="15">
        <v>2</v>
      </c>
      <c r="H160" s="15">
        <f t="shared" si="4"/>
        <v>48.1</v>
      </c>
      <c r="I160" s="4" t="s">
        <v>20</v>
      </c>
    </row>
    <row r="161" spans="1:9" x14ac:dyDescent="0.25">
      <c r="A161" t="s">
        <v>23</v>
      </c>
      <c r="B161" t="s">
        <v>84</v>
      </c>
      <c r="C161" s="70" t="s">
        <v>22</v>
      </c>
      <c r="D161" s="70"/>
      <c r="E161" s="3">
        <f t="shared" si="5"/>
        <v>35</v>
      </c>
      <c r="F161" s="15">
        <v>53.5</v>
      </c>
      <c r="G161" s="15">
        <v>1.4</v>
      </c>
      <c r="H161" s="15">
        <f t="shared" si="4"/>
        <v>52.1</v>
      </c>
      <c r="I161" s="4" t="s">
        <v>20</v>
      </c>
    </row>
    <row r="162" spans="1:9" x14ac:dyDescent="0.25">
      <c r="A162" t="s">
        <v>23</v>
      </c>
      <c r="B162" t="s">
        <v>84</v>
      </c>
      <c r="C162" s="70" t="s">
        <v>22</v>
      </c>
      <c r="D162" s="70"/>
      <c r="E162" s="3">
        <f t="shared" si="5"/>
        <v>36</v>
      </c>
      <c r="F162" s="15">
        <v>49.3</v>
      </c>
      <c r="G162" s="15">
        <v>2.1</v>
      </c>
      <c r="H162" s="15">
        <f t="shared" si="4"/>
        <v>47.199999999999996</v>
      </c>
      <c r="I162" s="4" t="s">
        <v>20</v>
      </c>
    </row>
    <row r="163" spans="1:9" x14ac:dyDescent="0.25">
      <c r="A163" t="s">
        <v>23</v>
      </c>
      <c r="B163" t="s">
        <v>84</v>
      </c>
      <c r="C163" s="70" t="s">
        <v>22</v>
      </c>
      <c r="D163" s="70"/>
      <c r="E163" s="3">
        <f t="shared" si="5"/>
        <v>37</v>
      </c>
      <c r="F163" s="15">
        <v>40</v>
      </c>
      <c r="G163" s="15">
        <v>1</v>
      </c>
      <c r="H163" s="15">
        <f t="shared" si="4"/>
        <v>39</v>
      </c>
      <c r="I163" s="4" t="s">
        <v>20</v>
      </c>
    </row>
    <row r="164" spans="1:9" x14ac:dyDescent="0.25">
      <c r="A164" t="s">
        <v>23</v>
      </c>
      <c r="B164" t="s">
        <v>84</v>
      </c>
      <c r="C164" s="70" t="s">
        <v>22</v>
      </c>
      <c r="D164" s="70"/>
      <c r="E164" s="3">
        <f t="shared" si="5"/>
        <v>38</v>
      </c>
      <c r="F164" s="15">
        <v>55.6</v>
      </c>
      <c r="G164" s="15">
        <v>1.3</v>
      </c>
      <c r="H164" s="15">
        <f t="shared" si="4"/>
        <v>54.300000000000004</v>
      </c>
      <c r="I164" s="4" t="s">
        <v>20</v>
      </c>
    </row>
    <row r="165" spans="1:9" x14ac:dyDescent="0.25">
      <c r="A165" t="s">
        <v>23</v>
      </c>
      <c r="B165" t="s">
        <v>84</v>
      </c>
      <c r="C165" s="70" t="s">
        <v>22</v>
      </c>
      <c r="D165" s="70"/>
      <c r="E165" s="3">
        <f t="shared" si="5"/>
        <v>39</v>
      </c>
      <c r="F165" s="15">
        <v>55.4</v>
      </c>
      <c r="G165" s="15">
        <v>0.8</v>
      </c>
      <c r="H165" s="15">
        <f t="shared" si="4"/>
        <v>54.6</v>
      </c>
      <c r="I165" s="4" t="s">
        <v>20</v>
      </c>
    </row>
    <row r="166" spans="1:9" x14ac:dyDescent="0.25">
      <c r="A166" t="s">
        <v>23</v>
      </c>
      <c r="B166" t="s">
        <v>84</v>
      </c>
      <c r="C166" s="70" t="s">
        <v>22</v>
      </c>
      <c r="D166" s="70"/>
      <c r="E166" s="3">
        <f t="shared" si="5"/>
        <v>40</v>
      </c>
      <c r="F166" s="15">
        <v>40.1</v>
      </c>
      <c r="G166" s="15">
        <v>0.9</v>
      </c>
      <c r="H166" s="15">
        <f t="shared" si="4"/>
        <v>39.200000000000003</v>
      </c>
      <c r="I166" s="4" t="s">
        <v>20</v>
      </c>
    </row>
    <row r="167" spans="1:9" x14ac:dyDescent="0.25">
      <c r="A167" t="s">
        <v>23</v>
      </c>
      <c r="B167" t="s">
        <v>84</v>
      </c>
      <c r="C167" s="70" t="s">
        <v>22</v>
      </c>
      <c r="D167" s="70"/>
      <c r="E167" s="3">
        <f t="shared" si="5"/>
        <v>41</v>
      </c>
      <c r="F167" s="15">
        <v>60.9</v>
      </c>
      <c r="G167" s="15">
        <v>1</v>
      </c>
      <c r="H167" s="15">
        <f t="shared" si="4"/>
        <v>59.9</v>
      </c>
      <c r="I167" s="4" t="s">
        <v>20</v>
      </c>
    </row>
    <row r="168" spans="1:9" x14ac:dyDescent="0.25">
      <c r="A168" t="s">
        <v>23</v>
      </c>
      <c r="B168" t="s">
        <v>84</v>
      </c>
      <c r="C168" s="70" t="s">
        <v>22</v>
      </c>
      <c r="D168" s="70"/>
      <c r="E168" s="3">
        <f t="shared" si="5"/>
        <v>42</v>
      </c>
      <c r="F168" s="15">
        <v>44.1</v>
      </c>
      <c r="G168" s="15">
        <v>1</v>
      </c>
      <c r="H168" s="15">
        <f t="shared" si="4"/>
        <v>43.1</v>
      </c>
      <c r="I168" s="4" t="s">
        <v>20</v>
      </c>
    </row>
    <row r="169" spans="1:9" x14ac:dyDescent="0.25">
      <c r="A169" t="s">
        <v>23</v>
      </c>
      <c r="B169" t="s">
        <v>84</v>
      </c>
      <c r="C169" s="70" t="s">
        <v>22</v>
      </c>
      <c r="D169" s="70"/>
      <c r="E169" s="3">
        <f t="shared" si="5"/>
        <v>43</v>
      </c>
      <c r="F169" s="15">
        <v>59.1</v>
      </c>
      <c r="G169" s="15">
        <v>1</v>
      </c>
      <c r="H169" s="15">
        <f t="shared" si="4"/>
        <v>58.1</v>
      </c>
      <c r="I169" s="4" t="s">
        <v>20</v>
      </c>
    </row>
    <row r="170" spans="1:9" x14ac:dyDescent="0.25">
      <c r="A170" t="s">
        <v>23</v>
      </c>
      <c r="B170" t="s">
        <v>84</v>
      </c>
      <c r="C170" s="70" t="s">
        <v>22</v>
      </c>
      <c r="D170" s="70"/>
      <c r="E170" s="3">
        <f t="shared" si="5"/>
        <v>44</v>
      </c>
      <c r="F170" s="15">
        <v>52.9</v>
      </c>
      <c r="G170" s="15">
        <v>1.2</v>
      </c>
      <c r="H170" s="15">
        <f t="shared" si="4"/>
        <v>51.699999999999996</v>
      </c>
      <c r="I170" s="4" t="s">
        <v>20</v>
      </c>
    </row>
    <row r="171" spans="1:9" x14ac:dyDescent="0.25">
      <c r="A171" t="s">
        <v>23</v>
      </c>
      <c r="B171" t="s">
        <v>84</v>
      </c>
      <c r="C171" s="70" t="s">
        <v>22</v>
      </c>
      <c r="D171" s="70"/>
      <c r="E171" s="3">
        <f t="shared" si="5"/>
        <v>45</v>
      </c>
      <c r="F171" s="15">
        <v>38.700000000000003</v>
      </c>
      <c r="G171" s="15">
        <v>1</v>
      </c>
      <c r="H171" s="15">
        <f t="shared" si="4"/>
        <v>37.700000000000003</v>
      </c>
      <c r="I171" s="4" t="s">
        <v>20</v>
      </c>
    </row>
    <row r="172" spans="1:9" x14ac:dyDescent="0.25">
      <c r="A172" t="s">
        <v>23</v>
      </c>
      <c r="B172" t="s">
        <v>84</v>
      </c>
      <c r="C172" s="70" t="s">
        <v>22</v>
      </c>
      <c r="D172" s="70"/>
      <c r="E172" s="3">
        <f t="shared" si="5"/>
        <v>46</v>
      </c>
      <c r="F172" s="15">
        <v>40</v>
      </c>
      <c r="G172" s="15">
        <v>1</v>
      </c>
      <c r="H172" s="15">
        <f t="shared" si="4"/>
        <v>39</v>
      </c>
      <c r="I172" s="4" t="s">
        <v>20</v>
      </c>
    </row>
    <row r="173" spans="1:9" x14ac:dyDescent="0.25">
      <c r="A173" t="s">
        <v>23</v>
      </c>
      <c r="B173" t="s">
        <v>84</v>
      </c>
      <c r="C173" s="70" t="s">
        <v>22</v>
      </c>
      <c r="D173" s="70"/>
      <c r="E173" s="3">
        <f t="shared" si="5"/>
        <v>47</v>
      </c>
      <c r="F173" s="15">
        <v>29</v>
      </c>
      <c r="G173" s="15">
        <v>1.1000000000000001</v>
      </c>
      <c r="H173" s="15">
        <f t="shared" si="4"/>
        <v>27.9</v>
      </c>
      <c r="I173" s="4" t="s">
        <v>20</v>
      </c>
    </row>
    <row r="174" spans="1:9" x14ac:dyDescent="0.25">
      <c r="A174" t="s">
        <v>23</v>
      </c>
      <c r="B174" t="s">
        <v>84</v>
      </c>
      <c r="C174" s="70" t="s">
        <v>22</v>
      </c>
      <c r="D174" s="70"/>
      <c r="E174" s="3">
        <f t="shared" si="5"/>
        <v>48</v>
      </c>
      <c r="F174" s="15">
        <v>50.3</v>
      </c>
      <c r="G174" s="15">
        <v>1</v>
      </c>
      <c r="H174" s="15">
        <f t="shared" si="4"/>
        <v>49.3</v>
      </c>
      <c r="I174" s="4" t="s">
        <v>20</v>
      </c>
    </row>
    <row r="175" spans="1:9" x14ac:dyDescent="0.25">
      <c r="A175" t="s">
        <v>23</v>
      </c>
      <c r="B175" t="s">
        <v>84</v>
      </c>
      <c r="C175" s="70" t="s">
        <v>22</v>
      </c>
      <c r="D175" s="70"/>
      <c r="E175" s="3">
        <f t="shared" si="5"/>
        <v>49</v>
      </c>
      <c r="F175" s="15">
        <v>39.700000000000003</v>
      </c>
      <c r="G175" s="15">
        <v>1</v>
      </c>
      <c r="H175" s="15">
        <f t="shared" si="4"/>
        <v>38.700000000000003</v>
      </c>
      <c r="I175" s="4" t="s">
        <v>20</v>
      </c>
    </row>
    <row r="176" spans="1:9" x14ac:dyDescent="0.25">
      <c r="A176" t="s">
        <v>23</v>
      </c>
      <c r="B176" t="s">
        <v>84</v>
      </c>
      <c r="C176" s="70" t="s">
        <v>22</v>
      </c>
      <c r="D176" s="70"/>
      <c r="E176" s="3">
        <f t="shared" si="5"/>
        <v>50</v>
      </c>
      <c r="F176" s="15">
        <v>43.3</v>
      </c>
      <c r="G176" s="15">
        <v>0.7</v>
      </c>
      <c r="H176" s="15">
        <f t="shared" si="4"/>
        <v>42.599999999999994</v>
      </c>
      <c r="I176" s="4" t="s">
        <v>20</v>
      </c>
    </row>
    <row r="177" spans="1:9" x14ac:dyDescent="0.25">
      <c r="A177" t="s">
        <v>23</v>
      </c>
      <c r="B177" t="s">
        <v>84</v>
      </c>
      <c r="C177" s="70" t="s">
        <v>22</v>
      </c>
      <c r="D177" s="70"/>
      <c r="E177" s="3">
        <f t="shared" si="5"/>
        <v>51</v>
      </c>
      <c r="F177" s="15">
        <v>36.700000000000003</v>
      </c>
      <c r="G177" s="15">
        <v>1</v>
      </c>
      <c r="H177" s="15">
        <f t="shared" si="4"/>
        <v>35.700000000000003</v>
      </c>
      <c r="I177" s="4" t="s">
        <v>20</v>
      </c>
    </row>
    <row r="178" spans="1:9" x14ac:dyDescent="0.25">
      <c r="A178" t="s">
        <v>23</v>
      </c>
      <c r="B178" t="s">
        <v>84</v>
      </c>
      <c r="C178" s="70" t="s">
        <v>22</v>
      </c>
      <c r="D178" s="70"/>
      <c r="E178" s="3">
        <f t="shared" si="5"/>
        <v>52</v>
      </c>
      <c r="F178" s="15">
        <v>50.8</v>
      </c>
      <c r="G178" s="15">
        <v>1</v>
      </c>
      <c r="H178" s="15">
        <f t="shared" si="4"/>
        <v>49.8</v>
      </c>
      <c r="I178" s="4" t="s">
        <v>20</v>
      </c>
    </row>
    <row r="179" spans="1:9" x14ac:dyDescent="0.25">
      <c r="A179" t="s">
        <v>23</v>
      </c>
      <c r="B179" t="s">
        <v>84</v>
      </c>
      <c r="C179" s="70" t="s">
        <v>22</v>
      </c>
      <c r="D179" s="70"/>
      <c r="E179" s="3">
        <f t="shared" si="5"/>
        <v>53</v>
      </c>
      <c r="F179" s="15">
        <v>50.6</v>
      </c>
      <c r="G179" s="15">
        <v>1</v>
      </c>
      <c r="H179" s="15">
        <f t="shared" si="4"/>
        <v>49.6</v>
      </c>
      <c r="I179" s="4" t="s">
        <v>20</v>
      </c>
    </row>
    <row r="180" spans="1:9" x14ac:dyDescent="0.25">
      <c r="A180" t="s">
        <v>23</v>
      </c>
      <c r="B180" t="s">
        <v>84</v>
      </c>
      <c r="C180" s="70" t="s">
        <v>22</v>
      </c>
      <c r="D180" s="70"/>
      <c r="E180" s="3">
        <f t="shared" si="5"/>
        <v>54</v>
      </c>
      <c r="F180" s="15">
        <v>55.1</v>
      </c>
      <c r="G180" s="15">
        <v>1.8</v>
      </c>
      <c r="H180" s="15">
        <f t="shared" si="4"/>
        <v>53.300000000000004</v>
      </c>
      <c r="I180" s="4" t="s">
        <v>20</v>
      </c>
    </row>
    <row r="181" spans="1:9" x14ac:dyDescent="0.25">
      <c r="A181" t="s">
        <v>23</v>
      </c>
      <c r="B181" t="s">
        <v>84</v>
      </c>
      <c r="C181" s="70" t="s">
        <v>22</v>
      </c>
      <c r="D181" s="70"/>
      <c r="E181" s="3">
        <f t="shared" si="5"/>
        <v>55</v>
      </c>
      <c r="F181" s="15">
        <v>49.8</v>
      </c>
      <c r="G181" s="15">
        <v>1.6</v>
      </c>
      <c r="H181" s="15">
        <f t="shared" si="4"/>
        <v>48.199999999999996</v>
      </c>
      <c r="I181" s="4" t="s">
        <v>20</v>
      </c>
    </row>
    <row r="182" spans="1:9" x14ac:dyDescent="0.25">
      <c r="A182" t="s">
        <v>23</v>
      </c>
      <c r="B182" t="s">
        <v>84</v>
      </c>
      <c r="C182" s="70" t="s">
        <v>22</v>
      </c>
      <c r="D182" s="70"/>
      <c r="E182" s="3">
        <f t="shared" si="5"/>
        <v>56</v>
      </c>
      <c r="F182" s="15">
        <v>51.2</v>
      </c>
      <c r="G182" s="15">
        <v>1</v>
      </c>
      <c r="H182" s="15">
        <f t="shared" si="4"/>
        <v>50.2</v>
      </c>
      <c r="I182" s="4" t="s">
        <v>20</v>
      </c>
    </row>
    <row r="183" spans="1:9" x14ac:dyDescent="0.25">
      <c r="A183" t="s">
        <v>23</v>
      </c>
      <c r="B183" t="s">
        <v>84</v>
      </c>
      <c r="C183" s="70" t="s">
        <v>22</v>
      </c>
      <c r="D183" s="70"/>
      <c r="E183" s="3">
        <f t="shared" si="5"/>
        <v>57</v>
      </c>
      <c r="F183" s="15">
        <v>50</v>
      </c>
      <c r="G183" s="15">
        <v>1</v>
      </c>
      <c r="H183" s="15">
        <f t="shared" si="4"/>
        <v>49</v>
      </c>
      <c r="I183" s="4" t="s">
        <v>20</v>
      </c>
    </row>
    <row r="184" spans="1:9" x14ac:dyDescent="0.25">
      <c r="A184" t="s">
        <v>23</v>
      </c>
      <c r="B184" t="s">
        <v>84</v>
      </c>
      <c r="C184" s="70" t="s">
        <v>22</v>
      </c>
      <c r="D184" s="70"/>
      <c r="E184" s="3">
        <f t="shared" si="5"/>
        <v>58</v>
      </c>
      <c r="F184" s="15">
        <v>41.7</v>
      </c>
      <c r="G184" s="15">
        <v>1.4</v>
      </c>
      <c r="H184" s="15">
        <f t="shared" si="4"/>
        <v>40.300000000000004</v>
      </c>
      <c r="I184" s="4" t="s">
        <v>20</v>
      </c>
    </row>
    <row r="185" spans="1:9" x14ac:dyDescent="0.25">
      <c r="A185" t="s">
        <v>23</v>
      </c>
      <c r="B185" t="s">
        <v>84</v>
      </c>
      <c r="C185" s="70" t="s">
        <v>22</v>
      </c>
      <c r="D185" s="70"/>
      <c r="E185" s="3">
        <f t="shared" si="5"/>
        <v>59</v>
      </c>
      <c r="F185" s="15">
        <v>51.9</v>
      </c>
      <c r="G185" s="15">
        <v>1.2</v>
      </c>
      <c r="H185" s="15">
        <f t="shared" si="4"/>
        <v>50.699999999999996</v>
      </c>
      <c r="I185" s="4" t="s">
        <v>20</v>
      </c>
    </row>
    <row r="186" spans="1:9" x14ac:dyDescent="0.25">
      <c r="A186" t="s">
        <v>23</v>
      </c>
      <c r="B186" t="s">
        <v>84</v>
      </c>
      <c r="C186" s="70" t="s">
        <v>22</v>
      </c>
      <c r="D186" s="70"/>
      <c r="E186" s="3">
        <f t="shared" si="5"/>
        <v>60</v>
      </c>
      <c r="F186" s="15">
        <v>46.8</v>
      </c>
      <c r="G186" s="15">
        <v>0.7</v>
      </c>
      <c r="H186" s="15">
        <f t="shared" si="4"/>
        <v>46.099999999999994</v>
      </c>
      <c r="I186" s="4" t="s">
        <v>20</v>
      </c>
    </row>
    <row r="187" spans="1:9" x14ac:dyDescent="0.25">
      <c r="A187" t="s">
        <v>23</v>
      </c>
      <c r="B187" t="s">
        <v>84</v>
      </c>
      <c r="C187" s="70" t="s">
        <v>22</v>
      </c>
      <c r="D187" s="70"/>
      <c r="E187" s="3">
        <f t="shared" si="5"/>
        <v>61</v>
      </c>
      <c r="F187" s="15">
        <v>43</v>
      </c>
      <c r="G187" s="15">
        <v>0.9</v>
      </c>
      <c r="H187" s="15">
        <f t="shared" si="4"/>
        <v>42.1</v>
      </c>
      <c r="I187" s="4" t="s">
        <v>20</v>
      </c>
    </row>
    <row r="188" spans="1:9" x14ac:dyDescent="0.25">
      <c r="A188" t="s">
        <v>23</v>
      </c>
      <c r="B188" t="s">
        <v>84</v>
      </c>
      <c r="C188" s="70" t="s">
        <v>22</v>
      </c>
      <c r="D188" s="70"/>
      <c r="E188" s="3">
        <f t="shared" si="5"/>
        <v>62</v>
      </c>
      <c r="F188" s="15">
        <v>44.5</v>
      </c>
      <c r="G188" s="15">
        <v>1</v>
      </c>
      <c r="H188" s="15">
        <f t="shared" si="4"/>
        <v>43.5</v>
      </c>
      <c r="I188" s="4" t="s">
        <v>20</v>
      </c>
    </row>
    <row r="189" spans="1:9" x14ac:dyDescent="0.25">
      <c r="A189" t="s">
        <v>23</v>
      </c>
      <c r="B189" t="s">
        <v>84</v>
      </c>
      <c r="C189" s="70" t="s">
        <v>22</v>
      </c>
      <c r="D189" s="70"/>
      <c r="E189" s="3">
        <f t="shared" si="5"/>
        <v>63</v>
      </c>
      <c r="F189" s="15">
        <v>41.7</v>
      </c>
      <c r="G189" s="15">
        <v>1</v>
      </c>
      <c r="H189" s="15">
        <f t="shared" si="4"/>
        <v>40.700000000000003</v>
      </c>
      <c r="I189" s="4" t="s">
        <v>20</v>
      </c>
    </row>
    <row r="190" spans="1:9" x14ac:dyDescent="0.25">
      <c r="A190" t="s">
        <v>23</v>
      </c>
      <c r="B190" t="s">
        <v>84</v>
      </c>
      <c r="C190" s="70" t="s">
        <v>22</v>
      </c>
      <c r="D190" s="70"/>
      <c r="E190" s="3">
        <f t="shared" si="5"/>
        <v>64</v>
      </c>
      <c r="F190" s="15">
        <v>44.8</v>
      </c>
      <c r="G190" s="15">
        <v>1</v>
      </c>
      <c r="H190" s="15">
        <f t="shared" si="4"/>
        <v>43.8</v>
      </c>
      <c r="I190" s="4" t="s">
        <v>20</v>
      </c>
    </row>
    <row r="191" spans="1:9" x14ac:dyDescent="0.25">
      <c r="A191" t="s">
        <v>23</v>
      </c>
      <c r="B191" t="s">
        <v>84</v>
      </c>
      <c r="C191" s="70" t="s">
        <v>22</v>
      </c>
      <c r="D191" s="70"/>
      <c r="E191" s="3">
        <f t="shared" si="5"/>
        <v>65</v>
      </c>
      <c r="F191" s="15">
        <v>50.7</v>
      </c>
      <c r="G191" s="15">
        <v>1.1000000000000001</v>
      </c>
      <c r="H191" s="15">
        <f t="shared" si="4"/>
        <v>49.6</v>
      </c>
      <c r="I191" s="4" t="s">
        <v>20</v>
      </c>
    </row>
    <row r="192" spans="1:9" x14ac:dyDescent="0.25">
      <c r="A192" t="s">
        <v>23</v>
      </c>
      <c r="B192" t="s">
        <v>84</v>
      </c>
      <c r="C192" s="70" t="s">
        <v>22</v>
      </c>
      <c r="D192" s="70"/>
      <c r="E192" s="3">
        <f t="shared" si="5"/>
        <v>66</v>
      </c>
      <c r="F192" s="15">
        <v>52.4</v>
      </c>
      <c r="G192" s="15">
        <v>1.1000000000000001</v>
      </c>
      <c r="H192" s="15">
        <f t="shared" ref="H192:H240" si="6">F192-G192</f>
        <v>51.3</v>
      </c>
      <c r="I192" s="4" t="s">
        <v>20</v>
      </c>
    </row>
    <row r="193" spans="1:9" x14ac:dyDescent="0.25">
      <c r="A193" t="s">
        <v>23</v>
      </c>
      <c r="B193" t="s">
        <v>84</v>
      </c>
      <c r="C193" s="70" t="s">
        <v>22</v>
      </c>
      <c r="D193" s="70"/>
      <c r="E193" s="3">
        <f t="shared" ref="E193:E257" si="7">E192+1</f>
        <v>67</v>
      </c>
      <c r="F193" s="15">
        <v>47.4</v>
      </c>
      <c r="G193" s="15">
        <v>1.5</v>
      </c>
      <c r="H193" s="15">
        <f t="shared" si="6"/>
        <v>45.9</v>
      </c>
      <c r="I193" s="4" t="s">
        <v>20</v>
      </c>
    </row>
    <row r="194" spans="1:9" x14ac:dyDescent="0.25">
      <c r="A194" t="s">
        <v>23</v>
      </c>
      <c r="B194" t="s">
        <v>84</v>
      </c>
      <c r="C194" s="70" t="s">
        <v>22</v>
      </c>
      <c r="D194" s="70"/>
      <c r="E194" s="3">
        <f t="shared" si="7"/>
        <v>68</v>
      </c>
      <c r="F194" s="15">
        <v>47.8</v>
      </c>
      <c r="G194" s="15">
        <v>1.2</v>
      </c>
      <c r="H194" s="15">
        <f t="shared" si="6"/>
        <v>46.599999999999994</v>
      </c>
      <c r="I194" s="4" t="s">
        <v>20</v>
      </c>
    </row>
    <row r="195" spans="1:9" x14ac:dyDescent="0.25">
      <c r="A195" t="s">
        <v>23</v>
      </c>
      <c r="B195" t="s">
        <v>84</v>
      </c>
      <c r="C195" s="70" t="s">
        <v>22</v>
      </c>
      <c r="D195" s="70"/>
      <c r="E195" s="3">
        <f t="shared" si="7"/>
        <v>69</v>
      </c>
      <c r="F195" s="15">
        <v>45</v>
      </c>
      <c r="G195" s="15">
        <v>1.2</v>
      </c>
      <c r="H195" s="15">
        <f t="shared" si="6"/>
        <v>43.8</v>
      </c>
      <c r="I195" s="4" t="s">
        <v>20</v>
      </c>
    </row>
    <row r="196" spans="1:9" x14ac:dyDescent="0.25">
      <c r="A196" t="s">
        <v>23</v>
      </c>
      <c r="B196" t="s">
        <v>84</v>
      </c>
      <c r="C196" s="70" t="s">
        <v>22</v>
      </c>
      <c r="D196" s="70"/>
      <c r="E196" s="3">
        <f t="shared" si="7"/>
        <v>70</v>
      </c>
      <c r="F196" s="15">
        <v>48.8</v>
      </c>
      <c r="G196" s="15">
        <v>1.7</v>
      </c>
      <c r="H196" s="15">
        <f t="shared" si="6"/>
        <v>47.099999999999994</v>
      </c>
      <c r="I196" s="4" t="s">
        <v>20</v>
      </c>
    </row>
    <row r="197" spans="1:9" x14ac:dyDescent="0.25">
      <c r="A197" t="s">
        <v>23</v>
      </c>
      <c r="B197" t="s">
        <v>84</v>
      </c>
      <c r="C197" s="70" t="s">
        <v>22</v>
      </c>
      <c r="D197" s="70"/>
      <c r="E197" s="3">
        <f t="shared" si="7"/>
        <v>71</v>
      </c>
      <c r="F197" s="15">
        <v>43.7</v>
      </c>
      <c r="G197" s="15">
        <v>1.7</v>
      </c>
      <c r="H197" s="15">
        <f t="shared" si="6"/>
        <v>42</v>
      </c>
      <c r="I197" s="4" t="s">
        <v>20</v>
      </c>
    </row>
    <row r="198" spans="1:9" x14ac:dyDescent="0.25">
      <c r="A198" t="s">
        <v>23</v>
      </c>
      <c r="B198" t="s">
        <v>84</v>
      </c>
      <c r="C198" s="70" t="s">
        <v>22</v>
      </c>
      <c r="D198" s="70"/>
      <c r="E198" s="3">
        <f t="shared" si="7"/>
        <v>72</v>
      </c>
      <c r="F198" s="15">
        <v>50</v>
      </c>
      <c r="G198" s="15">
        <v>1.2</v>
      </c>
      <c r="H198" s="15">
        <f t="shared" si="6"/>
        <v>48.8</v>
      </c>
      <c r="I198" s="4" t="s">
        <v>20</v>
      </c>
    </row>
    <row r="199" spans="1:9" x14ac:dyDescent="0.25">
      <c r="A199" t="s">
        <v>23</v>
      </c>
      <c r="B199" t="s">
        <v>84</v>
      </c>
      <c r="C199" s="70" t="s">
        <v>22</v>
      </c>
      <c r="D199" s="70"/>
      <c r="E199" s="3">
        <f t="shared" si="7"/>
        <v>73</v>
      </c>
      <c r="F199" s="15">
        <v>39.299999999999997</v>
      </c>
      <c r="G199" s="15">
        <v>1</v>
      </c>
      <c r="H199" s="15">
        <f t="shared" si="6"/>
        <v>38.299999999999997</v>
      </c>
      <c r="I199" s="4" t="s">
        <v>20</v>
      </c>
    </row>
    <row r="200" spans="1:9" x14ac:dyDescent="0.25">
      <c r="A200" t="s">
        <v>23</v>
      </c>
      <c r="B200" t="s">
        <v>84</v>
      </c>
      <c r="C200" s="70" t="s">
        <v>22</v>
      </c>
      <c r="D200" s="70"/>
      <c r="E200" s="3">
        <f t="shared" si="7"/>
        <v>74</v>
      </c>
      <c r="F200" s="15">
        <v>37.4</v>
      </c>
      <c r="G200" s="15">
        <v>1.1000000000000001</v>
      </c>
      <c r="H200" s="15">
        <f t="shared" si="6"/>
        <v>36.299999999999997</v>
      </c>
      <c r="I200" s="4" t="s">
        <v>20</v>
      </c>
    </row>
    <row r="201" spans="1:9" x14ac:dyDescent="0.25">
      <c r="A201" t="s">
        <v>23</v>
      </c>
      <c r="B201" t="s">
        <v>84</v>
      </c>
      <c r="C201" s="70" t="s">
        <v>22</v>
      </c>
      <c r="D201" s="70"/>
      <c r="E201" s="3">
        <f t="shared" si="7"/>
        <v>75</v>
      </c>
      <c r="F201" s="15">
        <v>46.5</v>
      </c>
      <c r="G201" s="15">
        <v>1.8</v>
      </c>
      <c r="H201" s="15">
        <f t="shared" si="6"/>
        <v>44.7</v>
      </c>
      <c r="I201" s="4" t="s">
        <v>20</v>
      </c>
    </row>
    <row r="202" spans="1:9" x14ac:dyDescent="0.25">
      <c r="A202" t="s">
        <v>23</v>
      </c>
      <c r="B202" t="s">
        <v>84</v>
      </c>
      <c r="C202" s="70" t="s">
        <v>22</v>
      </c>
      <c r="D202" s="70"/>
      <c r="E202" s="3">
        <f t="shared" si="7"/>
        <v>76</v>
      </c>
      <c r="F202" s="15">
        <v>47</v>
      </c>
      <c r="G202" s="15">
        <v>0.9</v>
      </c>
      <c r="H202" s="15">
        <f t="shared" si="6"/>
        <v>46.1</v>
      </c>
      <c r="I202" s="4" t="s">
        <v>20</v>
      </c>
    </row>
    <row r="203" spans="1:9" x14ac:dyDescent="0.25">
      <c r="A203" t="s">
        <v>23</v>
      </c>
      <c r="B203" t="s">
        <v>84</v>
      </c>
      <c r="C203" s="70" t="s">
        <v>22</v>
      </c>
      <c r="D203" s="70"/>
      <c r="E203" s="3">
        <f t="shared" si="7"/>
        <v>77</v>
      </c>
      <c r="F203" s="15">
        <v>44</v>
      </c>
      <c r="G203" s="15">
        <v>1.4</v>
      </c>
      <c r="H203" s="15">
        <f t="shared" si="6"/>
        <v>42.6</v>
      </c>
      <c r="I203" s="4" t="s">
        <v>20</v>
      </c>
    </row>
    <row r="204" spans="1:9" x14ac:dyDescent="0.25">
      <c r="A204" t="s">
        <v>23</v>
      </c>
      <c r="B204" t="s">
        <v>84</v>
      </c>
      <c r="C204" s="70" t="s">
        <v>22</v>
      </c>
      <c r="D204" s="70"/>
      <c r="E204" s="3">
        <f t="shared" si="7"/>
        <v>78</v>
      </c>
      <c r="F204" s="15">
        <v>45.6</v>
      </c>
      <c r="G204" s="15">
        <v>1.8</v>
      </c>
      <c r="H204" s="15">
        <f t="shared" si="6"/>
        <v>43.800000000000004</v>
      </c>
      <c r="I204" s="4" t="s">
        <v>20</v>
      </c>
    </row>
    <row r="205" spans="1:9" x14ac:dyDescent="0.25">
      <c r="A205" t="s">
        <v>23</v>
      </c>
      <c r="B205" t="s">
        <v>84</v>
      </c>
      <c r="C205" s="70" t="s">
        <v>22</v>
      </c>
      <c r="D205" s="70"/>
      <c r="E205" s="3">
        <f t="shared" si="7"/>
        <v>79</v>
      </c>
      <c r="F205" s="15">
        <v>46.3</v>
      </c>
      <c r="G205" s="15">
        <v>1.1000000000000001</v>
      </c>
      <c r="H205" s="15">
        <f t="shared" si="6"/>
        <v>45.199999999999996</v>
      </c>
      <c r="I205" s="4" t="s">
        <v>20</v>
      </c>
    </row>
    <row r="206" spans="1:9" x14ac:dyDescent="0.25">
      <c r="A206" t="s">
        <v>23</v>
      </c>
      <c r="B206" t="s">
        <v>84</v>
      </c>
      <c r="C206" s="70" t="s">
        <v>22</v>
      </c>
      <c r="D206" s="70"/>
      <c r="E206" s="3">
        <f t="shared" si="7"/>
        <v>80</v>
      </c>
      <c r="F206" s="15">
        <v>51.1</v>
      </c>
      <c r="G206" s="15">
        <v>1.8</v>
      </c>
      <c r="H206" s="15">
        <f t="shared" si="6"/>
        <v>49.300000000000004</v>
      </c>
      <c r="I206" s="4" t="s">
        <v>20</v>
      </c>
    </row>
    <row r="207" spans="1:9" x14ac:dyDescent="0.25">
      <c r="A207" t="s">
        <v>23</v>
      </c>
      <c r="B207" t="s">
        <v>84</v>
      </c>
      <c r="C207" s="70" t="s">
        <v>22</v>
      </c>
      <c r="D207" s="70"/>
      <c r="E207" s="3">
        <f t="shared" si="7"/>
        <v>81</v>
      </c>
      <c r="F207" s="15">
        <v>54.2</v>
      </c>
      <c r="G207" s="15">
        <v>1.1000000000000001</v>
      </c>
      <c r="H207" s="15">
        <f t="shared" si="6"/>
        <v>53.1</v>
      </c>
      <c r="I207" s="4" t="s">
        <v>20</v>
      </c>
    </row>
    <row r="208" spans="1:9" x14ac:dyDescent="0.25">
      <c r="A208" t="s">
        <v>23</v>
      </c>
      <c r="B208" t="s">
        <v>84</v>
      </c>
      <c r="C208" s="70" t="s">
        <v>22</v>
      </c>
      <c r="D208" s="70"/>
      <c r="E208" s="3">
        <f t="shared" si="7"/>
        <v>82</v>
      </c>
      <c r="F208" s="15">
        <v>50.1</v>
      </c>
      <c r="G208" s="15">
        <v>1.9</v>
      </c>
      <c r="H208" s="15">
        <f t="shared" si="6"/>
        <v>48.2</v>
      </c>
      <c r="I208" s="4" t="s">
        <v>20</v>
      </c>
    </row>
    <row r="209" spans="1:9" x14ac:dyDescent="0.25">
      <c r="A209" t="s">
        <v>23</v>
      </c>
      <c r="B209" t="s">
        <v>84</v>
      </c>
      <c r="C209" s="70" t="s">
        <v>22</v>
      </c>
      <c r="D209" s="70"/>
      <c r="E209" s="3">
        <f t="shared" si="7"/>
        <v>83</v>
      </c>
      <c r="F209" s="15">
        <v>49.7</v>
      </c>
      <c r="G209" s="15">
        <v>2.1</v>
      </c>
      <c r="H209" s="15">
        <f t="shared" si="6"/>
        <v>47.6</v>
      </c>
      <c r="I209" s="4" t="s">
        <v>20</v>
      </c>
    </row>
    <row r="210" spans="1:9" x14ac:dyDescent="0.25">
      <c r="A210" t="s">
        <v>23</v>
      </c>
      <c r="B210" t="s">
        <v>84</v>
      </c>
      <c r="C210" s="70" t="s">
        <v>22</v>
      </c>
      <c r="D210" s="70"/>
      <c r="E210" s="3">
        <f t="shared" si="7"/>
        <v>84</v>
      </c>
      <c r="F210" s="15">
        <v>52.6</v>
      </c>
      <c r="G210" s="15">
        <v>1</v>
      </c>
      <c r="H210" s="15">
        <f t="shared" si="6"/>
        <v>51.6</v>
      </c>
      <c r="I210" s="4" t="s">
        <v>20</v>
      </c>
    </row>
    <row r="211" spans="1:9" x14ac:dyDescent="0.25">
      <c r="A211" t="s">
        <v>23</v>
      </c>
      <c r="B211" t="s">
        <v>84</v>
      </c>
      <c r="C211" s="70" t="s">
        <v>22</v>
      </c>
      <c r="D211" s="70"/>
      <c r="E211" s="3">
        <f t="shared" si="7"/>
        <v>85</v>
      </c>
      <c r="F211" s="15">
        <v>45.7</v>
      </c>
      <c r="G211" s="15">
        <v>1.4</v>
      </c>
      <c r="H211" s="15">
        <f t="shared" si="6"/>
        <v>44.300000000000004</v>
      </c>
      <c r="I211" s="4" t="s">
        <v>20</v>
      </c>
    </row>
    <row r="212" spans="1:9" x14ac:dyDescent="0.25">
      <c r="A212" t="s">
        <v>23</v>
      </c>
      <c r="B212" t="s">
        <v>84</v>
      </c>
      <c r="C212" s="70" t="s">
        <v>22</v>
      </c>
      <c r="D212" s="70"/>
      <c r="E212" s="3">
        <f t="shared" si="7"/>
        <v>86</v>
      </c>
      <c r="F212" s="15">
        <v>45.4</v>
      </c>
      <c r="G212" s="15">
        <v>1.1000000000000001</v>
      </c>
      <c r="H212" s="15">
        <f t="shared" si="6"/>
        <v>44.3</v>
      </c>
      <c r="I212" s="4" t="s">
        <v>20</v>
      </c>
    </row>
    <row r="213" spans="1:9" x14ac:dyDescent="0.25">
      <c r="A213" t="s">
        <v>23</v>
      </c>
      <c r="B213" t="s">
        <v>84</v>
      </c>
      <c r="C213" s="70" t="s">
        <v>22</v>
      </c>
      <c r="D213" s="70"/>
      <c r="E213" s="3">
        <f t="shared" si="7"/>
        <v>87</v>
      </c>
      <c r="F213" s="15">
        <v>46.2</v>
      </c>
      <c r="G213" s="15">
        <v>1.3</v>
      </c>
      <c r="H213" s="15">
        <f t="shared" si="6"/>
        <v>44.900000000000006</v>
      </c>
      <c r="I213" s="4" t="s">
        <v>20</v>
      </c>
    </row>
    <row r="214" spans="1:9" x14ac:dyDescent="0.25">
      <c r="A214" t="s">
        <v>23</v>
      </c>
      <c r="B214" t="s">
        <v>84</v>
      </c>
      <c r="C214" s="70" t="s">
        <v>22</v>
      </c>
      <c r="D214" s="70"/>
      <c r="E214" s="3">
        <f t="shared" si="7"/>
        <v>88</v>
      </c>
      <c r="F214" s="15">
        <v>56.4</v>
      </c>
      <c r="G214" s="15">
        <v>1.5</v>
      </c>
      <c r="H214" s="15">
        <f t="shared" si="6"/>
        <v>54.9</v>
      </c>
      <c r="I214" s="4" t="s">
        <v>20</v>
      </c>
    </row>
    <row r="215" spans="1:9" x14ac:dyDescent="0.25">
      <c r="A215" t="s">
        <v>23</v>
      </c>
      <c r="B215" t="s">
        <v>84</v>
      </c>
      <c r="C215" s="70" t="s">
        <v>22</v>
      </c>
      <c r="D215" s="70"/>
      <c r="E215" s="3">
        <f t="shared" si="7"/>
        <v>89</v>
      </c>
      <c r="F215" s="15">
        <v>42.2</v>
      </c>
      <c r="G215" s="15">
        <v>1.2</v>
      </c>
      <c r="H215" s="15">
        <f t="shared" si="6"/>
        <v>41</v>
      </c>
      <c r="I215" s="4" t="s">
        <v>20</v>
      </c>
    </row>
    <row r="216" spans="1:9" x14ac:dyDescent="0.25">
      <c r="A216" t="s">
        <v>23</v>
      </c>
      <c r="B216" t="s">
        <v>84</v>
      </c>
      <c r="C216" s="70" t="s">
        <v>22</v>
      </c>
      <c r="D216" s="70"/>
      <c r="E216" s="3">
        <f t="shared" si="7"/>
        <v>90</v>
      </c>
      <c r="F216" s="15">
        <v>45.7</v>
      </c>
      <c r="G216" s="15">
        <v>1.1000000000000001</v>
      </c>
      <c r="H216" s="15">
        <f t="shared" ref="H216:H239" si="8">F216-G216</f>
        <v>44.6</v>
      </c>
      <c r="I216" s="4" t="s">
        <v>20</v>
      </c>
    </row>
    <row r="217" spans="1:9" x14ac:dyDescent="0.25">
      <c r="A217" t="s">
        <v>23</v>
      </c>
      <c r="B217" t="s">
        <v>84</v>
      </c>
      <c r="C217" s="70" t="s">
        <v>22</v>
      </c>
      <c r="D217" s="70"/>
      <c r="E217" s="3">
        <f t="shared" si="7"/>
        <v>91</v>
      </c>
      <c r="F217" s="15">
        <v>45.9</v>
      </c>
      <c r="G217" s="15">
        <v>1.1000000000000001</v>
      </c>
      <c r="H217" s="15">
        <f t="shared" si="8"/>
        <v>44.8</v>
      </c>
      <c r="I217" s="4" t="s">
        <v>20</v>
      </c>
    </row>
    <row r="218" spans="1:9" x14ac:dyDescent="0.25">
      <c r="A218" t="s">
        <v>23</v>
      </c>
      <c r="B218" t="s">
        <v>84</v>
      </c>
      <c r="C218" s="70" t="s">
        <v>22</v>
      </c>
      <c r="D218" s="70"/>
      <c r="E218" s="3">
        <f t="shared" si="7"/>
        <v>92</v>
      </c>
      <c r="F218" s="15">
        <v>49.6</v>
      </c>
      <c r="G218" s="15">
        <v>1</v>
      </c>
      <c r="H218" s="15">
        <f t="shared" si="8"/>
        <v>48.6</v>
      </c>
      <c r="I218" s="4" t="s">
        <v>20</v>
      </c>
    </row>
    <row r="219" spans="1:9" x14ac:dyDescent="0.25">
      <c r="A219" t="s">
        <v>23</v>
      </c>
      <c r="B219" t="s">
        <v>84</v>
      </c>
      <c r="C219" s="70" t="s">
        <v>22</v>
      </c>
      <c r="D219" s="70"/>
      <c r="E219" s="3">
        <f t="shared" si="7"/>
        <v>93</v>
      </c>
      <c r="F219" s="15">
        <v>46.9</v>
      </c>
      <c r="G219" s="15">
        <v>1</v>
      </c>
      <c r="H219" s="15">
        <f t="shared" si="8"/>
        <v>45.9</v>
      </c>
      <c r="I219" s="4" t="s">
        <v>20</v>
      </c>
    </row>
    <row r="220" spans="1:9" x14ac:dyDescent="0.25">
      <c r="A220" t="s">
        <v>23</v>
      </c>
      <c r="B220" t="s">
        <v>84</v>
      </c>
      <c r="C220" s="70" t="s">
        <v>22</v>
      </c>
      <c r="D220" s="70"/>
      <c r="E220" s="3">
        <f t="shared" si="7"/>
        <v>94</v>
      </c>
      <c r="F220" s="15">
        <v>64.099999999999994</v>
      </c>
      <c r="G220" s="15">
        <v>0.8</v>
      </c>
      <c r="H220" s="15">
        <f t="shared" si="8"/>
        <v>63.3</v>
      </c>
      <c r="I220" s="4" t="s">
        <v>20</v>
      </c>
    </row>
    <row r="221" spans="1:9" x14ac:dyDescent="0.25">
      <c r="A221" t="s">
        <v>23</v>
      </c>
      <c r="B221" t="s">
        <v>84</v>
      </c>
      <c r="C221" s="70" t="s">
        <v>22</v>
      </c>
      <c r="D221" s="70"/>
      <c r="E221" s="3">
        <f t="shared" si="7"/>
        <v>95</v>
      </c>
      <c r="F221" s="15">
        <v>39.799999999999997</v>
      </c>
      <c r="G221" s="15">
        <v>1</v>
      </c>
      <c r="H221" s="15">
        <f t="shared" si="8"/>
        <v>38.799999999999997</v>
      </c>
      <c r="I221" s="4" t="s">
        <v>20</v>
      </c>
    </row>
    <row r="222" spans="1:9" x14ac:dyDescent="0.25">
      <c r="A222" t="s">
        <v>23</v>
      </c>
      <c r="B222" t="s">
        <v>84</v>
      </c>
      <c r="C222" s="70" t="s">
        <v>22</v>
      </c>
      <c r="D222" s="70"/>
      <c r="E222" s="3">
        <f t="shared" si="7"/>
        <v>96</v>
      </c>
      <c r="F222" s="15">
        <v>51.9</v>
      </c>
      <c r="G222" s="15">
        <v>1</v>
      </c>
      <c r="H222" s="15">
        <f t="shared" si="8"/>
        <v>50.9</v>
      </c>
      <c r="I222" s="4" t="s">
        <v>20</v>
      </c>
    </row>
    <row r="223" spans="1:9" x14ac:dyDescent="0.25">
      <c r="A223" t="s">
        <v>23</v>
      </c>
      <c r="B223" t="s">
        <v>84</v>
      </c>
      <c r="C223" s="70" t="s">
        <v>22</v>
      </c>
      <c r="D223" s="70"/>
      <c r="E223" s="3">
        <f t="shared" si="7"/>
        <v>97</v>
      </c>
      <c r="F223" s="15">
        <v>62.1</v>
      </c>
      <c r="G223" s="15">
        <v>1.4</v>
      </c>
      <c r="H223" s="15">
        <f t="shared" si="8"/>
        <v>60.7</v>
      </c>
      <c r="I223" s="4" t="s">
        <v>20</v>
      </c>
    </row>
    <row r="224" spans="1:9" x14ac:dyDescent="0.25">
      <c r="A224" t="s">
        <v>23</v>
      </c>
      <c r="B224" t="s">
        <v>84</v>
      </c>
      <c r="C224" s="70" t="s">
        <v>22</v>
      </c>
      <c r="D224" s="70"/>
      <c r="E224" s="3">
        <f t="shared" si="7"/>
        <v>98</v>
      </c>
      <c r="F224" s="15">
        <v>42.3</v>
      </c>
      <c r="G224" s="15">
        <v>1.2</v>
      </c>
      <c r="H224" s="15">
        <f t="shared" si="8"/>
        <v>41.099999999999994</v>
      </c>
      <c r="I224" s="4" t="s">
        <v>20</v>
      </c>
    </row>
    <row r="225" spans="1:9" x14ac:dyDescent="0.25">
      <c r="A225" t="s">
        <v>23</v>
      </c>
      <c r="B225" t="s">
        <v>84</v>
      </c>
      <c r="C225" s="70" t="s">
        <v>22</v>
      </c>
      <c r="D225" s="70"/>
      <c r="E225" s="3">
        <f t="shared" si="7"/>
        <v>99</v>
      </c>
      <c r="F225" s="15">
        <v>40.299999999999997</v>
      </c>
      <c r="G225" s="15">
        <v>1</v>
      </c>
      <c r="H225" s="15">
        <f t="shared" si="8"/>
        <v>39.299999999999997</v>
      </c>
      <c r="I225" s="4" t="s">
        <v>20</v>
      </c>
    </row>
    <row r="226" spans="1:9" x14ac:dyDescent="0.25">
      <c r="A226" t="s">
        <v>23</v>
      </c>
      <c r="B226" t="s">
        <v>84</v>
      </c>
      <c r="C226" s="70" t="s">
        <v>22</v>
      </c>
      <c r="D226" s="70"/>
      <c r="E226" s="3">
        <f t="shared" si="7"/>
        <v>100</v>
      </c>
      <c r="F226" s="15">
        <v>44.3</v>
      </c>
      <c r="G226" s="15">
        <v>0.8</v>
      </c>
      <c r="H226" s="15">
        <f t="shared" si="8"/>
        <v>43.5</v>
      </c>
      <c r="I226" s="4" t="s">
        <v>20</v>
      </c>
    </row>
    <row r="227" spans="1:9" x14ac:dyDescent="0.25">
      <c r="A227" t="s">
        <v>23</v>
      </c>
      <c r="B227" t="s">
        <v>84</v>
      </c>
      <c r="C227" s="70" t="s">
        <v>22</v>
      </c>
      <c r="D227" s="70"/>
      <c r="E227" s="3">
        <f t="shared" si="7"/>
        <v>101</v>
      </c>
      <c r="F227" s="15">
        <v>35</v>
      </c>
      <c r="G227" s="15">
        <v>1</v>
      </c>
      <c r="H227" s="15">
        <f t="shared" si="8"/>
        <v>34</v>
      </c>
      <c r="I227" s="4" t="s">
        <v>20</v>
      </c>
    </row>
    <row r="228" spans="1:9" x14ac:dyDescent="0.25">
      <c r="A228" t="s">
        <v>23</v>
      </c>
      <c r="B228" t="s">
        <v>84</v>
      </c>
      <c r="C228" s="70" t="s">
        <v>22</v>
      </c>
      <c r="D228" s="70"/>
      <c r="E228" s="3">
        <f t="shared" si="7"/>
        <v>102</v>
      </c>
      <c r="F228" s="15">
        <v>47.9</v>
      </c>
      <c r="G228" s="15">
        <v>0.8</v>
      </c>
      <c r="H228" s="15">
        <f t="shared" si="8"/>
        <v>47.1</v>
      </c>
      <c r="I228" s="4" t="s">
        <v>20</v>
      </c>
    </row>
    <row r="229" spans="1:9" x14ac:dyDescent="0.25">
      <c r="A229" t="s">
        <v>23</v>
      </c>
      <c r="B229" t="s">
        <v>84</v>
      </c>
      <c r="C229" s="70" t="s">
        <v>22</v>
      </c>
      <c r="D229" s="70"/>
      <c r="E229" s="3">
        <f t="shared" si="7"/>
        <v>103</v>
      </c>
      <c r="F229" s="15">
        <v>40.4</v>
      </c>
      <c r="G229" s="15">
        <v>1.2</v>
      </c>
      <c r="H229" s="15">
        <f t="shared" si="8"/>
        <v>39.199999999999996</v>
      </c>
      <c r="I229" s="4" t="s">
        <v>20</v>
      </c>
    </row>
    <row r="230" spans="1:9" x14ac:dyDescent="0.25">
      <c r="A230" t="s">
        <v>23</v>
      </c>
      <c r="B230" t="s">
        <v>84</v>
      </c>
      <c r="C230" s="70" t="s">
        <v>22</v>
      </c>
      <c r="D230" s="70"/>
      <c r="E230" s="3">
        <f t="shared" si="7"/>
        <v>104</v>
      </c>
      <c r="F230" s="15">
        <v>38.799999999999997</v>
      </c>
      <c r="G230" s="15">
        <v>0.8</v>
      </c>
      <c r="H230" s="15">
        <f t="shared" si="8"/>
        <v>38</v>
      </c>
      <c r="I230" s="4" t="s">
        <v>20</v>
      </c>
    </row>
    <row r="231" spans="1:9" x14ac:dyDescent="0.25">
      <c r="A231" t="s">
        <v>23</v>
      </c>
      <c r="B231" t="s">
        <v>84</v>
      </c>
      <c r="C231" s="70" t="s">
        <v>22</v>
      </c>
      <c r="D231" s="70"/>
      <c r="E231" s="3">
        <f t="shared" si="7"/>
        <v>105</v>
      </c>
      <c r="F231" s="15">
        <v>43</v>
      </c>
      <c r="G231" s="15">
        <v>1</v>
      </c>
      <c r="H231" s="15">
        <f t="shared" si="8"/>
        <v>42</v>
      </c>
      <c r="I231" s="4" t="s">
        <v>20</v>
      </c>
    </row>
    <row r="232" spans="1:9" x14ac:dyDescent="0.25">
      <c r="A232" t="s">
        <v>23</v>
      </c>
      <c r="B232" t="s">
        <v>84</v>
      </c>
      <c r="C232" s="70" t="s">
        <v>22</v>
      </c>
      <c r="D232" s="70"/>
      <c r="E232" s="3">
        <f t="shared" si="7"/>
        <v>106</v>
      </c>
      <c r="F232" s="15">
        <v>47.4</v>
      </c>
      <c r="G232" s="15">
        <v>1.4</v>
      </c>
      <c r="H232" s="15">
        <f t="shared" si="8"/>
        <v>46</v>
      </c>
      <c r="I232" s="4" t="s">
        <v>20</v>
      </c>
    </row>
    <row r="233" spans="1:9" x14ac:dyDescent="0.25">
      <c r="A233" t="s">
        <v>23</v>
      </c>
      <c r="B233" t="s">
        <v>84</v>
      </c>
      <c r="C233" s="70" t="s">
        <v>22</v>
      </c>
      <c r="D233" s="70"/>
      <c r="E233" s="3">
        <f t="shared" si="7"/>
        <v>107</v>
      </c>
      <c r="F233" s="15">
        <v>41</v>
      </c>
      <c r="G233" s="15">
        <v>1.4</v>
      </c>
      <c r="H233" s="15">
        <f t="shared" si="8"/>
        <v>39.6</v>
      </c>
      <c r="I233" s="4" t="s">
        <v>20</v>
      </c>
    </row>
    <row r="234" spans="1:9" x14ac:dyDescent="0.25">
      <c r="A234" t="s">
        <v>23</v>
      </c>
      <c r="B234" t="s">
        <v>84</v>
      </c>
      <c r="C234" s="70" t="s">
        <v>22</v>
      </c>
      <c r="D234" s="70"/>
      <c r="E234" s="3">
        <f t="shared" si="7"/>
        <v>108</v>
      </c>
      <c r="F234" s="15">
        <v>41.4</v>
      </c>
      <c r="G234" s="15">
        <v>1</v>
      </c>
      <c r="H234" s="15">
        <f t="shared" si="8"/>
        <v>40.4</v>
      </c>
      <c r="I234" s="4" t="s">
        <v>20</v>
      </c>
    </row>
    <row r="235" spans="1:9" x14ac:dyDescent="0.25">
      <c r="A235" t="s">
        <v>23</v>
      </c>
      <c r="B235" t="s">
        <v>84</v>
      </c>
      <c r="C235" s="70" t="s">
        <v>22</v>
      </c>
      <c r="D235" s="70"/>
      <c r="E235" s="3">
        <f t="shared" si="7"/>
        <v>109</v>
      </c>
      <c r="F235" s="15">
        <v>51.3</v>
      </c>
      <c r="G235" s="15">
        <v>1.3</v>
      </c>
      <c r="H235" s="15">
        <f t="shared" si="8"/>
        <v>50</v>
      </c>
      <c r="I235" s="4" t="s">
        <v>20</v>
      </c>
    </row>
    <row r="236" spans="1:9" x14ac:dyDescent="0.25">
      <c r="A236" t="s">
        <v>23</v>
      </c>
      <c r="B236" t="s">
        <v>84</v>
      </c>
      <c r="C236" s="70" t="s">
        <v>22</v>
      </c>
      <c r="D236" s="70"/>
      <c r="E236" s="3">
        <f t="shared" si="7"/>
        <v>110</v>
      </c>
      <c r="F236" s="15">
        <v>52.7</v>
      </c>
      <c r="G236" s="15">
        <v>1.2</v>
      </c>
      <c r="H236" s="15">
        <f t="shared" si="8"/>
        <v>51.5</v>
      </c>
      <c r="I236" s="4" t="s">
        <v>20</v>
      </c>
    </row>
    <row r="237" spans="1:9" x14ac:dyDescent="0.25">
      <c r="A237" t="s">
        <v>23</v>
      </c>
      <c r="B237" t="s">
        <v>84</v>
      </c>
      <c r="C237" s="70" t="s">
        <v>22</v>
      </c>
      <c r="D237" s="70"/>
      <c r="E237" s="3">
        <f t="shared" si="7"/>
        <v>111</v>
      </c>
      <c r="F237" s="15">
        <v>47.6</v>
      </c>
      <c r="G237" s="15">
        <v>1</v>
      </c>
      <c r="H237" s="15">
        <f t="shared" si="8"/>
        <v>46.6</v>
      </c>
      <c r="I237" s="4" t="s">
        <v>20</v>
      </c>
    </row>
    <row r="238" spans="1:9" x14ac:dyDescent="0.25">
      <c r="A238" t="s">
        <v>23</v>
      </c>
      <c r="B238" t="s">
        <v>84</v>
      </c>
      <c r="C238" s="70" t="s">
        <v>22</v>
      </c>
      <c r="D238" s="70"/>
      <c r="E238" s="3">
        <f t="shared" si="7"/>
        <v>112</v>
      </c>
      <c r="F238" s="15">
        <v>47.5</v>
      </c>
      <c r="G238" s="15">
        <v>1</v>
      </c>
      <c r="H238" s="15">
        <f t="shared" si="8"/>
        <v>46.5</v>
      </c>
      <c r="I238" s="4" t="s">
        <v>20</v>
      </c>
    </row>
    <row r="239" spans="1:9" x14ac:dyDescent="0.25">
      <c r="A239" t="s">
        <v>23</v>
      </c>
      <c r="B239" t="s">
        <v>84</v>
      </c>
      <c r="C239" s="70" t="s">
        <v>22</v>
      </c>
      <c r="D239" s="70"/>
      <c r="E239" s="3">
        <f t="shared" si="7"/>
        <v>113</v>
      </c>
      <c r="F239" s="15">
        <v>41.4</v>
      </c>
      <c r="G239" s="15">
        <v>1</v>
      </c>
      <c r="H239" s="15">
        <f t="shared" si="8"/>
        <v>40.4</v>
      </c>
      <c r="I239" s="4" t="s">
        <v>20</v>
      </c>
    </row>
    <row r="240" spans="1:9" x14ac:dyDescent="0.25">
      <c r="A240" t="s">
        <v>23</v>
      </c>
      <c r="B240" t="s">
        <v>84</v>
      </c>
      <c r="C240" s="70" t="s">
        <v>22</v>
      </c>
      <c r="D240" s="70"/>
      <c r="E240" s="3">
        <f t="shared" si="7"/>
        <v>114</v>
      </c>
      <c r="F240" s="15">
        <v>46.6</v>
      </c>
      <c r="G240" s="15">
        <v>0.8</v>
      </c>
      <c r="H240" s="15">
        <f t="shared" si="6"/>
        <v>45.800000000000004</v>
      </c>
      <c r="I240" s="4" t="s">
        <v>20</v>
      </c>
    </row>
    <row r="241" spans="1:9" x14ac:dyDescent="0.25">
      <c r="A241" t="s">
        <v>23</v>
      </c>
      <c r="B241" t="s">
        <v>84</v>
      </c>
      <c r="C241" s="70" t="s">
        <v>22</v>
      </c>
      <c r="D241" s="70"/>
      <c r="E241" s="3">
        <f t="shared" si="7"/>
        <v>115</v>
      </c>
      <c r="F241" s="15">
        <v>43.8</v>
      </c>
      <c r="G241" s="15">
        <v>1.2</v>
      </c>
      <c r="H241" s="15">
        <f t="shared" ref="H241:H256" si="9">F241-G241</f>
        <v>42.599999999999994</v>
      </c>
      <c r="I241" s="4" t="s">
        <v>20</v>
      </c>
    </row>
    <row r="242" spans="1:9" x14ac:dyDescent="0.25">
      <c r="A242" t="s">
        <v>23</v>
      </c>
      <c r="B242" t="s">
        <v>84</v>
      </c>
      <c r="C242" s="70" t="s">
        <v>22</v>
      </c>
      <c r="D242" s="70"/>
      <c r="E242" s="3">
        <f t="shared" si="7"/>
        <v>116</v>
      </c>
      <c r="F242" s="15">
        <v>39.200000000000003</v>
      </c>
      <c r="G242" s="15">
        <v>0.8</v>
      </c>
      <c r="H242" s="15">
        <f t="shared" si="9"/>
        <v>38.400000000000006</v>
      </c>
      <c r="I242" s="4" t="s">
        <v>20</v>
      </c>
    </row>
    <row r="243" spans="1:9" x14ac:dyDescent="0.25">
      <c r="A243" t="s">
        <v>23</v>
      </c>
      <c r="B243" t="s">
        <v>84</v>
      </c>
      <c r="C243" s="70" t="s">
        <v>22</v>
      </c>
      <c r="D243" s="70"/>
      <c r="E243" s="3">
        <f t="shared" si="7"/>
        <v>117</v>
      </c>
      <c r="F243" s="15">
        <v>43.7</v>
      </c>
      <c r="G243" s="15">
        <v>1</v>
      </c>
      <c r="H243" s="15">
        <f t="shared" si="9"/>
        <v>42.7</v>
      </c>
      <c r="I243" s="4" t="s">
        <v>20</v>
      </c>
    </row>
    <row r="244" spans="1:9" x14ac:dyDescent="0.25">
      <c r="A244" t="s">
        <v>23</v>
      </c>
      <c r="B244" t="s">
        <v>84</v>
      </c>
      <c r="C244" s="70" t="s">
        <v>22</v>
      </c>
      <c r="D244" s="70"/>
      <c r="E244" s="3">
        <f t="shared" si="7"/>
        <v>118</v>
      </c>
      <c r="F244" s="15">
        <v>50.2</v>
      </c>
      <c r="G244" s="15">
        <v>1.4</v>
      </c>
      <c r="H244" s="15">
        <f t="shared" si="9"/>
        <v>48.800000000000004</v>
      </c>
      <c r="I244" s="4" t="s">
        <v>20</v>
      </c>
    </row>
    <row r="245" spans="1:9" x14ac:dyDescent="0.25">
      <c r="A245" t="s">
        <v>23</v>
      </c>
      <c r="B245" t="s">
        <v>84</v>
      </c>
      <c r="C245" s="70" t="s">
        <v>22</v>
      </c>
      <c r="D245" s="70"/>
      <c r="E245" s="3">
        <f t="shared" si="7"/>
        <v>119</v>
      </c>
      <c r="F245" s="15">
        <v>50.8</v>
      </c>
      <c r="G245" s="15">
        <v>1.4</v>
      </c>
      <c r="H245" s="15">
        <f t="shared" si="9"/>
        <v>49.4</v>
      </c>
      <c r="I245" s="4" t="s">
        <v>20</v>
      </c>
    </row>
    <row r="246" spans="1:9" x14ac:dyDescent="0.25">
      <c r="A246" t="s">
        <v>23</v>
      </c>
      <c r="B246" t="s">
        <v>84</v>
      </c>
      <c r="C246" s="70" t="s">
        <v>22</v>
      </c>
      <c r="D246" s="70"/>
      <c r="E246" s="3">
        <f t="shared" si="7"/>
        <v>120</v>
      </c>
      <c r="F246" s="15">
        <v>48.5</v>
      </c>
      <c r="G246" s="15">
        <v>1</v>
      </c>
      <c r="H246" s="15">
        <f t="shared" si="9"/>
        <v>47.5</v>
      </c>
      <c r="I246" s="4" t="s">
        <v>20</v>
      </c>
    </row>
    <row r="247" spans="1:9" x14ac:dyDescent="0.25">
      <c r="A247" t="s">
        <v>23</v>
      </c>
      <c r="B247" t="s">
        <v>84</v>
      </c>
      <c r="C247" s="70" t="s">
        <v>22</v>
      </c>
      <c r="D247" s="70"/>
      <c r="E247" s="3">
        <f t="shared" si="7"/>
        <v>121</v>
      </c>
      <c r="F247" s="15">
        <v>56.6</v>
      </c>
      <c r="G247" s="15">
        <v>1.3</v>
      </c>
      <c r="H247" s="15">
        <f t="shared" si="9"/>
        <v>55.300000000000004</v>
      </c>
      <c r="I247" s="4" t="s">
        <v>20</v>
      </c>
    </row>
    <row r="248" spans="1:9" x14ac:dyDescent="0.25">
      <c r="A248" t="s">
        <v>23</v>
      </c>
      <c r="B248" t="s">
        <v>84</v>
      </c>
      <c r="C248" s="70" t="s">
        <v>22</v>
      </c>
      <c r="D248" s="70"/>
      <c r="E248" s="3">
        <f t="shared" si="7"/>
        <v>122</v>
      </c>
      <c r="F248" s="15">
        <v>31.7</v>
      </c>
      <c r="G248" s="15">
        <v>1.2</v>
      </c>
      <c r="H248" s="15">
        <f t="shared" si="9"/>
        <v>30.5</v>
      </c>
      <c r="I248" s="4" t="s">
        <v>20</v>
      </c>
    </row>
    <row r="249" spans="1:9" x14ac:dyDescent="0.25">
      <c r="A249" t="s">
        <v>23</v>
      </c>
      <c r="B249" t="s">
        <v>84</v>
      </c>
      <c r="C249" s="70" t="s">
        <v>22</v>
      </c>
      <c r="D249" s="70"/>
      <c r="E249" s="3">
        <f t="shared" si="7"/>
        <v>123</v>
      </c>
      <c r="F249" s="15">
        <v>59.7</v>
      </c>
      <c r="G249" s="15">
        <v>1</v>
      </c>
      <c r="H249" s="15">
        <f t="shared" si="9"/>
        <v>58.7</v>
      </c>
      <c r="I249" s="4" t="s">
        <v>20</v>
      </c>
    </row>
    <row r="250" spans="1:9" x14ac:dyDescent="0.25">
      <c r="A250" t="s">
        <v>23</v>
      </c>
      <c r="B250" t="s">
        <v>84</v>
      </c>
      <c r="C250" s="70" t="s">
        <v>22</v>
      </c>
      <c r="D250" s="70"/>
      <c r="E250" s="3">
        <f t="shared" si="7"/>
        <v>124</v>
      </c>
      <c r="F250" s="15">
        <v>41.8</v>
      </c>
      <c r="G250" s="15">
        <v>1</v>
      </c>
      <c r="H250" s="15">
        <f t="shared" si="9"/>
        <v>40.799999999999997</v>
      </c>
      <c r="I250" s="4" t="s">
        <v>20</v>
      </c>
    </row>
    <row r="251" spans="1:9" x14ac:dyDescent="0.25">
      <c r="A251" t="s">
        <v>23</v>
      </c>
      <c r="B251" t="s">
        <v>84</v>
      </c>
      <c r="C251" s="70" t="s">
        <v>22</v>
      </c>
      <c r="D251" s="70"/>
      <c r="E251" s="3">
        <f t="shared" si="7"/>
        <v>125</v>
      </c>
      <c r="F251" s="15">
        <v>45.1</v>
      </c>
      <c r="G251" s="15">
        <v>0.8</v>
      </c>
      <c r="H251" s="15">
        <f t="shared" si="9"/>
        <v>44.300000000000004</v>
      </c>
      <c r="I251" s="4" t="s">
        <v>20</v>
      </c>
    </row>
    <row r="252" spans="1:9" x14ac:dyDescent="0.25">
      <c r="A252" t="s">
        <v>23</v>
      </c>
      <c r="B252" t="s">
        <v>84</v>
      </c>
      <c r="C252" s="70" t="s">
        <v>22</v>
      </c>
      <c r="D252" s="70"/>
      <c r="E252" s="3">
        <f t="shared" si="7"/>
        <v>126</v>
      </c>
      <c r="F252" s="15">
        <v>41</v>
      </c>
      <c r="G252" s="15">
        <v>1</v>
      </c>
      <c r="H252" s="15">
        <f t="shared" si="9"/>
        <v>40</v>
      </c>
      <c r="I252" s="4" t="s">
        <v>20</v>
      </c>
    </row>
    <row r="253" spans="1:9" x14ac:dyDescent="0.25">
      <c r="A253" t="s">
        <v>23</v>
      </c>
      <c r="B253" t="s">
        <v>84</v>
      </c>
      <c r="C253" s="70" t="s">
        <v>22</v>
      </c>
      <c r="D253" s="70"/>
      <c r="E253" s="3">
        <f t="shared" si="7"/>
        <v>127</v>
      </c>
      <c r="F253" s="15">
        <v>51.8</v>
      </c>
      <c r="G253" s="15">
        <v>1</v>
      </c>
      <c r="H253" s="15">
        <f t="shared" si="9"/>
        <v>50.8</v>
      </c>
      <c r="I253" s="4" t="s">
        <v>20</v>
      </c>
    </row>
    <row r="254" spans="1:9" x14ac:dyDescent="0.25">
      <c r="A254" t="s">
        <v>23</v>
      </c>
      <c r="B254" t="s">
        <v>84</v>
      </c>
      <c r="C254" s="70" t="s">
        <v>22</v>
      </c>
      <c r="D254" s="70"/>
      <c r="E254" s="3">
        <f t="shared" si="7"/>
        <v>128</v>
      </c>
      <c r="F254" s="15">
        <v>12.5</v>
      </c>
      <c r="G254" s="15">
        <v>0.2</v>
      </c>
      <c r="H254" s="15">
        <f t="shared" si="9"/>
        <v>12.3</v>
      </c>
      <c r="I254" s="4" t="s">
        <v>42</v>
      </c>
    </row>
    <row r="255" spans="1:9" x14ac:dyDescent="0.25">
      <c r="A255" t="s">
        <v>23</v>
      </c>
      <c r="B255" t="s">
        <v>84</v>
      </c>
      <c r="C255" s="70" t="s">
        <v>22</v>
      </c>
      <c r="D255" s="70"/>
      <c r="E255" s="3">
        <f t="shared" si="7"/>
        <v>129</v>
      </c>
      <c r="F255" s="15">
        <v>17.7</v>
      </c>
      <c r="G255" s="15">
        <v>0.2</v>
      </c>
      <c r="H255" s="15">
        <f t="shared" si="9"/>
        <v>17.5</v>
      </c>
      <c r="I255" s="4" t="s">
        <v>42</v>
      </c>
    </row>
    <row r="256" spans="1:9" x14ac:dyDescent="0.25">
      <c r="A256" t="s">
        <v>23</v>
      </c>
      <c r="B256" t="s">
        <v>84</v>
      </c>
      <c r="C256" s="70" t="s">
        <v>22</v>
      </c>
      <c r="D256" s="70"/>
      <c r="E256" s="3">
        <f t="shared" si="7"/>
        <v>130</v>
      </c>
      <c r="F256" s="15">
        <v>14.4</v>
      </c>
      <c r="G256" s="15">
        <v>0.2</v>
      </c>
      <c r="H256" s="15">
        <f t="shared" si="9"/>
        <v>14.200000000000001</v>
      </c>
      <c r="I256" s="4" t="s">
        <v>42</v>
      </c>
    </row>
    <row r="257" spans="1:9" ht="15.75" thickBot="1" x14ac:dyDescent="0.3">
      <c r="A257" t="s">
        <v>23</v>
      </c>
      <c r="B257" t="s">
        <v>84</v>
      </c>
      <c r="C257" s="78" t="s">
        <v>22</v>
      </c>
      <c r="D257" s="78"/>
      <c r="E257" s="3">
        <f t="shared" si="7"/>
        <v>131</v>
      </c>
      <c r="F257" s="15">
        <v>15.2</v>
      </c>
      <c r="G257" s="15">
        <v>0.2</v>
      </c>
      <c r="H257" s="15">
        <f>F257-G257</f>
        <v>15</v>
      </c>
      <c r="I257" s="4" t="s">
        <v>42</v>
      </c>
    </row>
    <row r="258" spans="1:9" ht="16.5" thickTop="1" thickBot="1" x14ac:dyDescent="0.3">
      <c r="A258" s="73" t="s">
        <v>27</v>
      </c>
      <c r="B258" s="73"/>
      <c r="C258" s="73"/>
      <c r="D258" s="73"/>
      <c r="E258" s="10">
        <f>E257</f>
        <v>131</v>
      </c>
      <c r="F258" s="14">
        <f>SUM(F127:F257)</f>
        <v>6066.3999999999987</v>
      </c>
      <c r="G258" s="14">
        <f>SUM(G127:G257)</f>
        <v>153.39999999999998</v>
      </c>
      <c r="H258" s="14">
        <f>SUM(H127:H257)</f>
        <v>5913.0000000000018</v>
      </c>
      <c r="I258" s="37"/>
    </row>
    <row r="259" spans="1:9" ht="6" customHeight="1" thickTop="1" x14ac:dyDescent="0.25"/>
    <row r="260" spans="1:9" ht="15.75" thickBot="1" x14ac:dyDescent="0.3">
      <c r="A260" s="1" t="s">
        <v>29</v>
      </c>
    </row>
    <row r="261" spans="1:9" ht="33" customHeight="1" thickTop="1" thickBot="1" x14ac:dyDescent="0.3">
      <c r="A261" s="9" t="s">
        <v>7</v>
      </c>
      <c r="B261" s="9" t="s">
        <v>2</v>
      </c>
      <c r="C261" s="10" t="s">
        <v>103</v>
      </c>
      <c r="D261" s="10" t="s">
        <v>6</v>
      </c>
      <c r="E261" s="11" t="s">
        <v>30</v>
      </c>
      <c r="F261" s="11" t="s">
        <v>31</v>
      </c>
      <c r="G261" s="11" t="s">
        <v>32</v>
      </c>
      <c r="H261" s="11" t="s">
        <v>33</v>
      </c>
      <c r="I261" s="11" t="s">
        <v>37</v>
      </c>
    </row>
    <row r="262" spans="1:9" ht="16.5" thickTop="1" thickBot="1" x14ac:dyDescent="0.3">
      <c r="A262" t="s">
        <v>23</v>
      </c>
      <c r="B262" t="str">
        <f>B257</f>
        <v>REMBANG</v>
      </c>
      <c r="C262" s="35">
        <f>E258</f>
        <v>131</v>
      </c>
      <c r="D262" s="36" t="s">
        <v>22</v>
      </c>
      <c r="E262" s="15">
        <v>4850</v>
      </c>
      <c r="F262" s="15">
        <v>848.3</v>
      </c>
      <c r="G262" s="15">
        <v>133.30000000000001</v>
      </c>
      <c r="H262" s="15">
        <f>H258-(E262+F262+G262)</f>
        <v>81.400000000001455</v>
      </c>
      <c r="I262" s="15">
        <f>SUM(E262:H262)</f>
        <v>5913.0000000000018</v>
      </c>
    </row>
    <row r="263" spans="1:9" ht="16.5" thickTop="1" thickBot="1" x14ac:dyDescent="0.3">
      <c r="A263" s="77" t="s">
        <v>52</v>
      </c>
      <c r="B263" s="77"/>
      <c r="C263" s="77"/>
      <c r="D263" s="77"/>
      <c r="E263" s="20">
        <f>E262/$H$258</f>
        <v>0.82022661931337704</v>
      </c>
      <c r="F263" s="23">
        <f>F262/$H$258</f>
        <v>0.14346355487907994</v>
      </c>
      <c r="G263" s="23">
        <f>G262/$H$258</f>
        <v>2.2543548114324366E-2</v>
      </c>
      <c r="H263" s="23">
        <f>H262/$H$258</f>
        <v>1.3766277693218575E-2</v>
      </c>
      <c r="I263" s="17">
        <f>SUM(E263:H263)</f>
        <v>0.99999999999999989</v>
      </c>
    </row>
    <row r="264" spans="1:9" ht="15.75" thickTop="1" x14ac:dyDescent="0.25"/>
  </sheetData>
  <mergeCells count="235">
    <mergeCell ref="A263:D263"/>
    <mergeCell ref="A1:I1"/>
    <mergeCell ref="A14:I14"/>
    <mergeCell ref="A113:D113"/>
    <mergeCell ref="A118:D118"/>
    <mergeCell ref="A258:D258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C71:D71"/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  <mergeCell ref="C81:D81"/>
    <mergeCell ref="C82:D82"/>
    <mergeCell ref="C83:D83"/>
    <mergeCell ref="C84:D84"/>
    <mergeCell ref="C85:D85"/>
    <mergeCell ref="C76:D76"/>
    <mergeCell ref="C77:D77"/>
    <mergeCell ref="C78:D78"/>
    <mergeCell ref="C79:D79"/>
    <mergeCell ref="C80:D80"/>
    <mergeCell ref="C91:D91"/>
    <mergeCell ref="C92:D92"/>
    <mergeCell ref="C93:D93"/>
    <mergeCell ref="C94:D94"/>
    <mergeCell ref="C95:D95"/>
    <mergeCell ref="C86:D86"/>
    <mergeCell ref="C87:D87"/>
    <mergeCell ref="C88:D88"/>
    <mergeCell ref="C89:D89"/>
    <mergeCell ref="C90:D9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111:D111"/>
    <mergeCell ref="C112:D112"/>
    <mergeCell ref="C126:D126"/>
    <mergeCell ref="C127:D127"/>
    <mergeCell ref="C106:D106"/>
    <mergeCell ref="C107:D107"/>
    <mergeCell ref="C108:D108"/>
    <mergeCell ref="C109:D109"/>
    <mergeCell ref="C110:D110"/>
    <mergeCell ref="C133:D133"/>
    <mergeCell ref="C134:D134"/>
    <mergeCell ref="C135:D135"/>
    <mergeCell ref="C136:D136"/>
    <mergeCell ref="C137:D137"/>
    <mergeCell ref="C128:D128"/>
    <mergeCell ref="C129:D129"/>
    <mergeCell ref="C130:D130"/>
    <mergeCell ref="C131:D131"/>
    <mergeCell ref="C132:D132"/>
    <mergeCell ref="C143:D143"/>
    <mergeCell ref="C144:D144"/>
    <mergeCell ref="C145:D145"/>
    <mergeCell ref="C146:D146"/>
    <mergeCell ref="C147:D147"/>
    <mergeCell ref="C138:D138"/>
    <mergeCell ref="C139:D139"/>
    <mergeCell ref="C140:D140"/>
    <mergeCell ref="C141:D141"/>
    <mergeCell ref="C142:D142"/>
    <mergeCell ref="C153:D153"/>
    <mergeCell ref="C154:D154"/>
    <mergeCell ref="C155:D155"/>
    <mergeCell ref="C156:D156"/>
    <mergeCell ref="C157:D157"/>
    <mergeCell ref="C148:D148"/>
    <mergeCell ref="C149:D149"/>
    <mergeCell ref="C150:D150"/>
    <mergeCell ref="C151:D151"/>
    <mergeCell ref="C152:D152"/>
    <mergeCell ref="C163:D163"/>
    <mergeCell ref="C164:D164"/>
    <mergeCell ref="C165:D165"/>
    <mergeCell ref="C166:D166"/>
    <mergeCell ref="C167:D167"/>
    <mergeCell ref="C158:D158"/>
    <mergeCell ref="C159:D159"/>
    <mergeCell ref="C160:D160"/>
    <mergeCell ref="C161:D161"/>
    <mergeCell ref="C162:D162"/>
    <mergeCell ref="C173:D173"/>
    <mergeCell ref="C174:D174"/>
    <mergeCell ref="C175:D175"/>
    <mergeCell ref="C176:D176"/>
    <mergeCell ref="C177:D177"/>
    <mergeCell ref="C168:D168"/>
    <mergeCell ref="C169:D169"/>
    <mergeCell ref="C170:D170"/>
    <mergeCell ref="C171:D171"/>
    <mergeCell ref="C172:D172"/>
    <mergeCell ref="C183:D183"/>
    <mergeCell ref="C184:D184"/>
    <mergeCell ref="C185:D185"/>
    <mergeCell ref="C186:D186"/>
    <mergeCell ref="C187:D187"/>
    <mergeCell ref="C178:D178"/>
    <mergeCell ref="C179:D179"/>
    <mergeCell ref="C180:D180"/>
    <mergeCell ref="C181:D181"/>
    <mergeCell ref="C182:D182"/>
    <mergeCell ref="C193:D193"/>
    <mergeCell ref="C194:D194"/>
    <mergeCell ref="C195:D195"/>
    <mergeCell ref="C196:D196"/>
    <mergeCell ref="C197:D197"/>
    <mergeCell ref="C188:D188"/>
    <mergeCell ref="C189:D189"/>
    <mergeCell ref="C190:D190"/>
    <mergeCell ref="C191:D191"/>
    <mergeCell ref="C192:D192"/>
    <mergeCell ref="C203:D203"/>
    <mergeCell ref="C204:D204"/>
    <mergeCell ref="C205:D205"/>
    <mergeCell ref="C206:D206"/>
    <mergeCell ref="C207:D207"/>
    <mergeCell ref="C198:D198"/>
    <mergeCell ref="C199:D199"/>
    <mergeCell ref="C200:D200"/>
    <mergeCell ref="C201:D201"/>
    <mergeCell ref="C202:D202"/>
    <mergeCell ref="C213:D213"/>
    <mergeCell ref="C214:D214"/>
    <mergeCell ref="C215:D215"/>
    <mergeCell ref="C216:D216"/>
    <mergeCell ref="C217:D217"/>
    <mergeCell ref="C208:D208"/>
    <mergeCell ref="C209:D209"/>
    <mergeCell ref="C210:D210"/>
    <mergeCell ref="C211:D211"/>
    <mergeCell ref="C212:D212"/>
    <mergeCell ref="C223:D223"/>
    <mergeCell ref="C224:D224"/>
    <mergeCell ref="C225:D225"/>
    <mergeCell ref="C226:D226"/>
    <mergeCell ref="C227:D227"/>
    <mergeCell ref="C218:D218"/>
    <mergeCell ref="C219:D219"/>
    <mergeCell ref="C220:D220"/>
    <mergeCell ref="C221:D221"/>
    <mergeCell ref="C222:D222"/>
    <mergeCell ref="C233:D233"/>
    <mergeCell ref="C234:D234"/>
    <mergeCell ref="C235:D235"/>
    <mergeCell ref="C236:D236"/>
    <mergeCell ref="C237:D237"/>
    <mergeCell ref="C228:D228"/>
    <mergeCell ref="C229:D229"/>
    <mergeCell ref="C230:D230"/>
    <mergeCell ref="C231:D231"/>
    <mergeCell ref="C232:D232"/>
    <mergeCell ref="C243:D243"/>
    <mergeCell ref="C244:D244"/>
    <mergeCell ref="C245:D245"/>
    <mergeCell ref="C246:D246"/>
    <mergeCell ref="C247:D247"/>
    <mergeCell ref="C238:D238"/>
    <mergeCell ref="C239:D239"/>
    <mergeCell ref="C240:D240"/>
    <mergeCell ref="C241:D241"/>
    <mergeCell ref="C242:D242"/>
    <mergeCell ref="C253:D253"/>
    <mergeCell ref="C254:D254"/>
    <mergeCell ref="C255:D255"/>
    <mergeCell ref="C256:D256"/>
    <mergeCell ref="C257:D257"/>
    <mergeCell ref="C248:D248"/>
    <mergeCell ref="C249:D249"/>
    <mergeCell ref="C250:D250"/>
    <mergeCell ref="C251:D251"/>
    <mergeCell ref="C252:D252"/>
  </mergeCells>
  <pageMargins left="0" right="0" top="0" bottom="0" header="0" footer="0"/>
  <pageSetup paperSize="346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311F-5D9B-4A72-BB06-B115BC9468E2}">
  <sheetPr>
    <tabColor rgb="FF00B050"/>
  </sheetPr>
  <dimension ref="A1:K182"/>
  <sheetViews>
    <sheetView showGridLines="0" topLeftCell="A160" workbookViewId="0">
      <selection activeCell="D57" sqref="D57"/>
    </sheetView>
  </sheetViews>
  <sheetFormatPr defaultRowHeight="15" x14ac:dyDescent="0.25"/>
  <cols>
    <col min="1" max="1" width="17.42578125" customWidth="1"/>
    <col min="2" max="2" width="15" customWidth="1"/>
    <col min="3" max="3" width="10.7109375" bestFit="1" customWidth="1"/>
    <col min="4" max="4" width="10.28515625" style="3" customWidth="1"/>
    <col min="5" max="5" width="10.42578125" customWidth="1"/>
    <col min="6" max="6" width="10.5703125" bestFit="1" customWidth="1"/>
    <col min="7" max="7" width="14.85546875" customWidth="1"/>
    <col min="8" max="8" width="13.42578125" customWidth="1"/>
  </cols>
  <sheetData>
    <row r="1" spans="1:11" ht="21" x14ac:dyDescent="0.35">
      <c r="A1" s="71" t="s">
        <v>51</v>
      </c>
      <c r="B1" s="71"/>
      <c r="C1" s="71"/>
      <c r="D1" s="71"/>
      <c r="E1" s="71"/>
      <c r="F1" s="71"/>
      <c r="G1" s="71"/>
      <c r="H1" s="71"/>
    </row>
    <row r="3" spans="1:11" x14ac:dyDescent="0.25">
      <c r="A3" s="8" t="s">
        <v>63</v>
      </c>
    </row>
    <row r="4" spans="1:11" x14ac:dyDescent="0.25">
      <c r="A4" s="1" t="s">
        <v>0</v>
      </c>
      <c r="B4" t="s">
        <v>49</v>
      </c>
      <c r="G4" s="22" t="s">
        <v>58</v>
      </c>
      <c r="H4" s="21">
        <v>46183</v>
      </c>
    </row>
    <row r="5" spans="1:11" ht="4.5" customHeight="1" thickBot="1" x14ac:dyDescent="0.3"/>
    <row r="6" spans="1:11" ht="31.5" customHeight="1" thickTop="1" thickBot="1" x14ac:dyDescent="0.3">
      <c r="A6" s="9" t="s">
        <v>7</v>
      </c>
      <c r="B6" s="9" t="s">
        <v>2</v>
      </c>
      <c r="C6" s="10" t="s">
        <v>6</v>
      </c>
      <c r="D6" s="10" t="s">
        <v>3</v>
      </c>
      <c r="E6" s="10" t="s">
        <v>4</v>
      </c>
      <c r="F6" s="10" t="s">
        <v>5</v>
      </c>
      <c r="G6" s="10" t="s">
        <v>15</v>
      </c>
      <c r="H6" s="11" t="s">
        <v>19</v>
      </c>
      <c r="I6" s="2"/>
      <c r="J6" s="2"/>
      <c r="K6" s="2"/>
    </row>
    <row r="7" spans="1:11" ht="15.75" thickTop="1" x14ac:dyDescent="0.25">
      <c r="A7" s="5" t="s">
        <v>1</v>
      </c>
      <c r="B7" s="5" t="s">
        <v>8</v>
      </c>
      <c r="C7" s="4" t="s">
        <v>22</v>
      </c>
      <c r="D7" s="15">
        <v>410.9</v>
      </c>
      <c r="E7" s="15">
        <v>9.3000000000000007</v>
      </c>
      <c r="F7" s="15">
        <f>D7-E7</f>
        <v>401.59999999999997</v>
      </c>
      <c r="G7" s="6">
        <v>46179</v>
      </c>
      <c r="H7" s="6" t="s">
        <v>20</v>
      </c>
    </row>
    <row r="8" spans="1:11" x14ac:dyDescent="0.25">
      <c r="A8" s="5" t="s">
        <v>1</v>
      </c>
      <c r="B8" s="5" t="s">
        <v>9</v>
      </c>
      <c r="C8" s="4" t="s">
        <v>22</v>
      </c>
      <c r="D8" s="15">
        <v>753.2</v>
      </c>
      <c r="E8" s="15">
        <v>23.7</v>
      </c>
      <c r="F8" s="15">
        <f t="shared" ref="F8:F12" si="0">D8-E8</f>
        <v>729.5</v>
      </c>
      <c r="G8" s="6">
        <v>46179</v>
      </c>
      <c r="H8" s="6" t="s">
        <v>20</v>
      </c>
    </row>
    <row r="9" spans="1:11" x14ac:dyDescent="0.25">
      <c r="A9" s="5" t="s">
        <v>1</v>
      </c>
      <c r="B9" s="5" t="s">
        <v>10</v>
      </c>
      <c r="C9" s="4" t="s">
        <v>22</v>
      </c>
      <c r="D9" s="15">
        <v>281.5</v>
      </c>
      <c r="E9" s="15">
        <v>7.7</v>
      </c>
      <c r="F9" s="15">
        <f t="shared" si="0"/>
        <v>273.8</v>
      </c>
      <c r="G9" s="6">
        <v>46179</v>
      </c>
      <c r="H9" s="6" t="s">
        <v>20</v>
      </c>
    </row>
    <row r="10" spans="1:11" x14ac:dyDescent="0.25">
      <c r="A10" s="5" t="s">
        <v>1</v>
      </c>
      <c r="B10" s="5" t="s">
        <v>11</v>
      </c>
      <c r="C10" s="4" t="s">
        <v>22</v>
      </c>
      <c r="D10" s="15">
        <v>755.6</v>
      </c>
      <c r="E10" s="15">
        <v>27.7</v>
      </c>
      <c r="F10" s="15">
        <f t="shared" si="0"/>
        <v>727.9</v>
      </c>
      <c r="G10" s="6">
        <v>46179</v>
      </c>
      <c r="H10" s="6" t="s">
        <v>20</v>
      </c>
    </row>
    <row r="11" spans="1:11" x14ac:dyDescent="0.25">
      <c r="A11" s="5" t="s">
        <v>1</v>
      </c>
      <c r="B11" s="5" t="s">
        <v>12</v>
      </c>
      <c r="C11" s="4" t="s">
        <v>14</v>
      </c>
      <c r="D11" s="15">
        <v>784.4</v>
      </c>
      <c r="E11" s="15">
        <v>122.4</v>
      </c>
      <c r="F11" s="15">
        <f t="shared" si="0"/>
        <v>662</v>
      </c>
      <c r="G11" s="6">
        <v>46179</v>
      </c>
      <c r="H11" s="6" t="s">
        <v>20</v>
      </c>
    </row>
    <row r="12" spans="1:11" x14ac:dyDescent="0.25">
      <c r="A12" s="5" t="s">
        <v>1</v>
      </c>
      <c r="B12" s="5" t="s">
        <v>13</v>
      </c>
      <c r="C12" s="4" t="s">
        <v>61</v>
      </c>
      <c r="D12" s="15">
        <v>695.8</v>
      </c>
      <c r="E12" s="15">
        <v>5.6</v>
      </c>
      <c r="F12" s="15">
        <f t="shared" si="0"/>
        <v>690.19999999999993</v>
      </c>
      <c r="G12" s="6">
        <v>46179</v>
      </c>
      <c r="H12" s="6" t="s">
        <v>20</v>
      </c>
    </row>
    <row r="13" spans="1:11" ht="4.5" customHeight="1" x14ac:dyDescent="0.25"/>
    <row r="14" spans="1:11" x14ac:dyDescent="0.25">
      <c r="A14" s="19" t="s">
        <v>16</v>
      </c>
      <c r="F14" s="27"/>
    </row>
    <row r="15" spans="1:11" ht="10.5" customHeight="1" x14ac:dyDescent="0.25">
      <c r="A15" s="7" t="s">
        <v>18</v>
      </c>
    </row>
    <row r="16" spans="1:11" ht="12.75" customHeight="1" x14ac:dyDescent="0.25">
      <c r="A16" s="7" t="s">
        <v>17</v>
      </c>
    </row>
    <row r="17" spans="1:8" ht="5.25" customHeight="1" x14ac:dyDescent="0.25"/>
    <row r="18" spans="1:8" x14ac:dyDescent="0.25">
      <c r="A18" s="72" t="s">
        <v>28</v>
      </c>
      <c r="B18" s="72"/>
      <c r="C18" s="72"/>
      <c r="D18" s="72"/>
      <c r="E18" s="72"/>
      <c r="F18" s="72"/>
      <c r="G18" s="72"/>
      <c r="H18" s="72"/>
    </row>
    <row r="19" spans="1:8" ht="23.25" customHeight="1" thickBot="1" x14ac:dyDescent="0.3">
      <c r="A19" s="1" t="s">
        <v>53</v>
      </c>
      <c r="B19" s="1" t="s">
        <v>21</v>
      </c>
    </row>
    <row r="20" spans="1:8" ht="16.5" thickTop="1" thickBot="1" x14ac:dyDescent="0.3">
      <c r="A20" s="9" t="s">
        <v>7</v>
      </c>
      <c r="B20" s="9" t="s">
        <v>2</v>
      </c>
      <c r="C20" s="10" t="s">
        <v>6</v>
      </c>
      <c r="D20" s="10" t="s">
        <v>25</v>
      </c>
      <c r="E20" s="10" t="s">
        <v>3</v>
      </c>
      <c r="F20" s="10" t="s">
        <v>4</v>
      </c>
      <c r="G20" s="10" t="s">
        <v>5</v>
      </c>
      <c r="H20" s="11" t="s">
        <v>26</v>
      </c>
    </row>
    <row r="21" spans="1:8" ht="15.75" thickTop="1" x14ac:dyDescent="0.25">
      <c r="A21" t="s">
        <v>23</v>
      </c>
      <c r="B21" t="s">
        <v>24</v>
      </c>
      <c r="C21" s="4" t="s">
        <v>22</v>
      </c>
      <c r="D21" s="3">
        <v>1</v>
      </c>
      <c r="E21" s="15">
        <v>44.4</v>
      </c>
      <c r="F21" s="15">
        <v>1.1000000000000001</v>
      </c>
      <c r="G21" s="15">
        <f>E21-F21</f>
        <v>43.3</v>
      </c>
      <c r="H21" s="4" t="s">
        <v>20</v>
      </c>
    </row>
    <row r="22" spans="1:8" x14ac:dyDescent="0.25">
      <c r="A22" t="s">
        <v>23</v>
      </c>
      <c r="B22" t="s">
        <v>24</v>
      </c>
      <c r="C22" s="4" t="s">
        <v>22</v>
      </c>
      <c r="D22" s="3">
        <f>D21+1</f>
        <v>2</v>
      </c>
      <c r="E22" s="15">
        <v>45.7</v>
      </c>
      <c r="F22" s="15">
        <v>1.1000000000000001</v>
      </c>
      <c r="G22" s="15">
        <f t="shared" ref="G22:G28" si="1">E22-F22</f>
        <v>44.6</v>
      </c>
      <c r="H22" s="4" t="s">
        <v>20</v>
      </c>
    </row>
    <row r="23" spans="1:8" x14ac:dyDescent="0.25">
      <c r="A23" t="s">
        <v>23</v>
      </c>
      <c r="B23" t="s">
        <v>24</v>
      </c>
      <c r="C23" s="4" t="s">
        <v>22</v>
      </c>
      <c r="D23" s="3">
        <f t="shared" ref="D23:D28" si="2">D22+1</f>
        <v>3</v>
      </c>
      <c r="E23" s="15">
        <v>50.5</v>
      </c>
      <c r="F23" s="15">
        <v>1.1000000000000001</v>
      </c>
      <c r="G23" s="15">
        <f t="shared" si="1"/>
        <v>49.4</v>
      </c>
      <c r="H23" s="4" t="s">
        <v>20</v>
      </c>
    </row>
    <row r="24" spans="1:8" x14ac:dyDescent="0.25">
      <c r="A24" t="s">
        <v>23</v>
      </c>
      <c r="B24" t="s">
        <v>24</v>
      </c>
      <c r="C24" s="4" t="s">
        <v>22</v>
      </c>
      <c r="D24" s="3">
        <f t="shared" si="2"/>
        <v>4</v>
      </c>
      <c r="E24" s="15">
        <v>62.7</v>
      </c>
      <c r="F24" s="15">
        <v>1.2</v>
      </c>
      <c r="G24" s="15">
        <f t="shared" si="1"/>
        <v>61.5</v>
      </c>
      <c r="H24" s="4" t="s">
        <v>20</v>
      </c>
    </row>
    <row r="25" spans="1:8" x14ac:dyDescent="0.25">
      <c r="A25" t="s">
        <v>23</v>
      </c>
      <c r="B25" t="s">
        <v>24</v>
      </c>
      <c r="C25" s="4" t="s">
        <v>22</v>
      </c>
      <c r="D25" s="3">
        <f t="shared" si="2"/>
        <v>5</v>
      </c>
      <c r="E25" s="15">
        <v>48.1</v>
      </c>
      <c r="F25" s="15">
        <v>1.3</v>
      </c>
      <c r="G25" s="15">
        <f t="shared" si="1"/>
        <v>46.800000000000004</v>
      </c>
      <c r="H25" s="4" t="s">
        <v>20</v>
      </c>
    </row>
    <row r="26" spans="1:8" x14ac:dyDescent="0.25">
      <c r="A26" t="s">
        <v>23</v>
      </c>
      <c r="B26" t="s">
        <v>24</v>
      </c>
      <c r="C26" s="4" t="s">
        <v>22</v>
      </c>
      <c r="D26" s="3">
        <f t="shared" si="2"/>
        <v>6</v>
      </c>
      <c r="E26" s="15">
        <v>51.3</v>
      </c>
      <c r="F26" s="15">
        <v>1.2</v>
      </c>
      <c r="G26" s="15">
        <f t="shared" si="1"/>
        <v>50.099999999999994</v>
      </c>
      <c r="H26" s="4" t="s">
        <v>20</v>
      </c>
    </row>
    <row r="27" spans="1:8" x14ac:dyDescent="0.25">
      <c r="A27" t="s">
        <v>23</v>
      </c>
      <c r="B27" t="s">
        <v>24</v>
      </c>
      <c r="C27" s="4" t="s">
        <v>22</v>
      </c>
      <c r="D27" s="3">
        <f t="shared" si="2"/>
        <v>7</v>
      </c>
      <c r="E27" s="15">
        <v>56.4</v>
      </c>
      <c r="F27" s="15">
        <v>1.2</v>
      </c>
      <c r="G27" s="15">
        <f t="shared" si="1"/>
        <v>55.199999999999996</v>
      </c>
      <c r="H27" s="4" t="s">
        <v>20</v>
      </c>
    </row>
    <row r="28" spans="1:8" ht="15.75" thickBot="1" x14ac:dyDescent="0.3">
      <c r="A28" t="s">
        <v>23</v>
      </c>
      <c r="B28" t="s">
        <v>24</v>
      </c>
      <c r="C28" s="4" t="s">
        <v>22</v>
      </c>
      <c r="D28" s="3">
        <f t="shared" si="2"/>
        <v>8</v>
      </c>
      <c r="E28" s="15">
        <v>55.6</v>
      </c>
      <c r="F28" s="15">
        <v>1.1000000000000001</v>
      </c>
      <c r="G28" s="15">
        <f t="shared" si="1"/>
        <v>54.5</v>
      </c>
      <c r="H28" s="4" t="s">
        <v>20</v>
      </c>
    </row>
    <row r="29" spans="1:8" ht="16.5" thickTop="1" thickBot="1" x14ac:dyDescent="0.3">
      <c r="A29" s="75" t="s">
        <v>27</v>
      </c>
      <c r="B29" s="75"/>
      <c r="C29" s="75"/>
      <c r="D29" s="12">
        <v>8</v>
      </c>
      <c r="E29" s="14">
        <f>SUM(E21:E28)</f>
        <v>414.7</v>
      </c>
      <c r="F29" s="14">
        <f>SUM(F21:F28)</f>
        <v>9.2999999999999989</v>
      </c>
      <c r="G29" s="14">
        <f>SUM(G21:G28)</f>
        <v>405.40000000000003</v>
      </c>
      <c r="H29" s="13"/>
    </row>
    <row r="30" spans="1:8" ht="6.75" customHeight="1" thickTop="1" x14ac:dyDescent="0.25"/>
    <row r="31" spans="1:8" ht="15.75" thickBot="1" x14ac:dyDescent="0.3">
      <c r="A31" s="1" t="s">
        <v>29</v>
      </c>
    </row>
    <row r="32" spans="1:8" ht="30" customHeight="1" thickTop="1" thickBot="1" x14ac:dyDescent="0.3">
      <c r="A32" s="9" t="s">
        <v>7</v>
      </c>
      <c r="B32" s="9" t="s">
        <v>2</v>
      </c>
      <c r="C32" s="10" t="s">
        <v>6</v>
      </c>
      <c r="D32" s="11" t="s">
        <v>30</v>
      </c>
      <c r="E32" s="11" t="s">
        <v>31</v>
      </c>
      <c r="F32" s="11" t="s">
        <v>32</v>
      </c>
      <c r="G32" s="11" t="s">
        <v>33</v>
      </c>
      <c r="H32" s="11" t="s">
        <v>37</v>
      </c>
    </row>
    <row r="33" spans="1:8" ht="16.5" thickTop="1" thickBot="1" x14ac:dyDescent="0.3">
      <c r="A33" t="s">
        <v>23</v>
      </c>
      <c r="B33" t="s">
        <v>24</v>
      </c>
      <c r="C33" s="3" t="s">
        <v>22</v>
      </c>
      <c r="D33" s="15">
        <v>285.10000000000002</v>
      </c>
      <c r="E33" s="15">
        <v>95.2</v>
      </c>
      <c r="F33" s="15">
        <v>6.8</v>
      </c>
      <c r="G33" s="15">
        <f>G29-(D33+E33+F33)</f>
        <v>18.300000000000011</v>
      </c>
      <c r="H33" s="15">
        <f>SUM(D33:G33)</f>
        <v>405.40000000000003</v>
      </c>
    </row>
    <row r="34" spans="1:8" ht="16.5" thickTop="1" thickBot="1" x14ac:dyDescent="0.3">
      <c r="A34" s="77" t="s">
        <v>52</v>
      </c>
      <c r="B34" s="77"/>
      <c r="C34" s="77"/>
      <c r="D34" s="20">
        <f>D33/$G$29</f>
        <v>0.70325604341391224</v>
      </c>
      <c r="E34" s="23">
        <f>E33/$G$29</f>
        <v>0.23482979773063639</v>
      </c>
      <c r="F34" s="23">
        <f>F33/$G$29</f>
        <v>1.6773556980759743E-2</v>
      </c>
      <c r="G34" s="23">
        <f>G33/$G$29</f>
        <v>4.514060187469169E-2</v>
      </c>
      <c r="H34" s="17">
        <f>SUM(D34:G34)</f>
        <v>1</v>
      </c>
    </row>
    <row r="35" spans="1:8" ht="15.75" thickTop="1" x14ac:dyDescent="0.25">
      <c r="A35" s="19" t="s">
        <v>16</v>
      </c>
    </row>
    <row r="36" spans="1:8" ht="10.5" customHeight="1" x14ac:dyDescent="0.25">
      <c r="A36" s="7" t="s">
        <v>36</v>
      </c>
    </row>
    <row r="37" spans="1:8" ht="10.5" customHeight="1" x14ac:dyDescent="0.25">
      <c r="A37" s="7" t="s">
        <v>35</v>
      </c>
    </row>
    <row r="38" spans="1:8" ht="10.5" customHeight="1" x14ac:dyDescent="0.25">
      <c r="A38" s="7" t="s">
        <v>34</v>
      </c>
    </row>
    <row r="39" spans="1:8" ht="10.5" customHeight="1" x14ac:dyDescent="0.25">
      <c r="A39" s="7" t="s">
        <v>50</v>
      </c>
    </row>
    <row r="40" spans="1:8" ht="6" customHeight="1" x14ac:dyDescent="0.25"/>
    <row r="41" spans="1:8" ht="15.75" thickBot="1" x14ac:dyDescent="0.3">
      <c r="A41" s="1" t="s">
        <v>54</v>
      </c>
      <c r="B41" s="1" t="s">
        <v>38</v>
      </c>
    </row>
    <row r="42" spans="1:8" ht="16.5" thickTop="1" thickBot="1" x14ac:dyDescent="0.3">
      <c r="A42" s="9" t="s">
        <v>7</v>
      </c>
      <c r="B42" s="9" t="s">
        <v>2</v>
      </c>
      <c r="C42" s="10" t="s">
        <v>6</v>
      </c>
      <c r="D42" s="10" t="s">
        <v>25</v>
      </c>
      <c r="E42" s="10" t="s">
        <v>3</v>
      </c>
      <c r="F42" s="10" t="s">
        <v>4</v>
      </c>
      <c r="G42" s="10" t="s">
        <v>5</v>
      </c>
      <c r="H42" s="11" t="s">
        <v>26</v>
      </c>
    </row>
    <row r="43" spans="1:8" ht="15.75" thickTop="1" x14ac:dyDescent="0.25">
      <c r="A43" t="s">
        <v>23</v>
      </c>
      <c r="B43" t="s">
        <v>39</v>
      </c>
      <c r="C43" s="4" t="s">
        <v>22</v>
      </c>
      <c r="D43" s="3">
        <v>1</v>
      </c>
      <c r="E43" s="15">
        <v>49.6</v>
      </c>
      <c r="F43" s="15">
        <v>1.6</v>
      </c>
      <c r="G43" s="15">
        <f>E43-F43</f>
        <v>48</v>
      </c>
      <c r="H43" s="4" t="s">
        <v>20</v>
      </c>
    </row>
    <row r="44" spans="1:8" x14ac:dyDescent="0.25">
      <c r="A44" t="s">
        <v>23</v>
      </c>
      <c r="B44" t="s">
        <v>39</v>
      </c>
      <c r="C44" s="4" t="s">
        <v>22</v>
      </c>
      <c r="D44" s="3">
        <f>D43+1</f>
        <v>2</v>
      </c>
      <c r="E44" s="15">
        <v>56</v>
      </c>
      <c r="F44" s="15">
        <v>1.7</v>
      </c>
      <c r="G44" s="15">
        <f t="shared" ref="G44:G56" si="3">E44-F44</f>
        <v>54.3</v>
      </c>
      <c r="H44" s="4" t="s">
        <v>20</v>
      </c>
    </row>
    <row r="45" spans="1:8" x14ac:dyDescent="0.25">
      <c r="A45" t="s">
        <v>23</v>
      </c>
      <c r="B45" t="s">
        <v>39</v>
      </c>
      <c r="C45" s="4" t="s">
        <v>22</v>
      </c>
      <c r="D45" s="3">
        <f t="shared" ref="D45:D56" si="4">D44+1</f>
        <v>3</v>
      </c>
      <c r="E45" s="15">
        <v>59.3</v>
      </c>
      <c r="F45" s="15">
        <v>1.6</v>
      </c>
      <c r="G45" s="15">
        <f t="shared" si="3"/>
        <v>57.699999999999996</v>
      </c>
      <c r="H45" s="4" t="s">
        <v>20</v>
      </c>
    </row>
    <row r="46" spans="1:8" x14ac:dyDescent="0.25">
      <c r="A46" t="s">
        <v>23</v>
      </c>
      <c r="B46" t="s">
        <v>39</v>
      </c>
      <c r="C46" s="4" t="s">
        <v>22</v>
      </c>
      <c r="D46" s="3">
        <f t="shared" si="4"/>
        <v>4</v>
      </c>
      <c r="E46" s="15">
        <v>49.9</v>
      </c>
      <c r="F46" s="15">
        <v>1.9</v>
      </c>
      <c r="G46" s="15">
        <f t="shared" si="3"/>
        <v>48</v>
      </c>
      <c r="H46" s="4" t="s">
        <v>20</v>
      </c>
    </row>
    <row r="47" spans="1:8" x14ac:dyDescent="0.25">
      <c r="A47" t="s">
        <v>23</v>
      </c>
      <c r="B47" t="s">
        <v>39</v>
      </c>
      <c r="C47" s="4" t="s">
        <v>22</v>
      </c>
      <c r="D47" s="3">
        <f t="shared" si="4"/>
        <v>5</v>
      </c>
      <c r="E47" s="15">
        <v>53</v>
      </c>
      <c r="F47" s="15">
        <v>1.6</v>
      </c>
      <c r="G47" s="15">
        <f t="shared" si="3"/>
        <v>51.4</v>
      </c>
      <c r="H47" s="4" t="s">
        <v>20</v>
      </c>
    </row>
    <row r="48" spans="1:8" x14ac:dyDescent="0.25">
      <c r="A48" t="s">
        <v>23</v>
      </c>
      <c r="B48" t="s">
        <v>39</v>
      </c>
      <c r="C48" s="4" t="s">
        <v>22</v>
      </c>
      <c r="D48" s="3">
        <f t="shared" si="4"/>
        <v>6</v>
      </c>
      <c r="E48" s="15">
        <v>56.6</v>
      </c>
      <c r="F48" s="15">
        <v>1.6</v>
      </c>
      <c r="G48" s="15">
        <f t="shared" si="3"/>
        <v>55</v>
      </c>
      <c r="H48" s="4" t="s">
        <v>20</v>
      </c>
    </row>
    <row r="49" spans="1:8" x14ac:dyDescent="0.25">
      <c r="A49" t="s">
        <v>23</v>
      </c>
      <c r="B49" t="s">
        <v>39</v>
      </c>
      <c r="C49" s="4" t="s">
        <v>22</v>
      </c>
      <c r="D49" s="3">
        <f t="shared" si="4"/>
        <v>7</v>
      </c>
      <c r="E49" s="15">
        <v>58.8</v>
      </c>
      <c r="F49" s="15">
        <v>1.8</v>
      </c>
      <c r="G49" s="15">
        <f t="shared" si="3"/>
        <v>57</v>
      </c>
      <c r="H49" s="4" t="s">
        <v>20</v>
      </c>
    </row>
    <row r="50" spans="1:8" x14ac:dyDescent="0.25">
      <c r="A50" t="s">
        <v>23</v>
      </c>
      <c r="B50" t="s">
        <v>39</v>
      </c>
      <c r="C50" s="4" t="s">
        <v>22</v>
      </c>
      <c r="D50" s="3">
        <f t="shared" si="4"/>
        <v>8</v>
      </c>
      <c r="E50" s="15">
        <v>56.7</v>
      </c>
      <c r="F50" s="15">
        <v>1.7</v>
      </c>
      <c r="G50" s="15">
        <f t="shared" si="3"/>
        <v>55</v>
      </c>
      <c r="H50" s="4" t="s">
        <v>20</v>
      </c>
    </row>
    <row r="51" spans="1:8" x14ac:dyDescent="0.25">
      <c r="A51" t="s">
        <v>23</v>
      </c>
      <c r="B51" t="s">
        <v>39</v>
      </c>
      <c r="C51" s="4" t="s">
        <v>22</v>
      </c>
      <c r="D51" s="3">
        <f t="shared" si="4"/>
        <v>9</v>
      </c>
      <c r="E51" s="15">
        <v>58.4</v>
      </c>
      <c r="F51" s="15">
        <v>1.8</v>
      </c>
      <c r="G51" s="15">
        <f t="shared" si="3"/>
        <v>56.6</v>
      </c>
      <c r="H51" s="4" t="s">
        <v>20</v>
      </c>
    </row>
    <row r="52" spans="1:8" x14ac:dyDescent="0.25">
      <c r="A52" t="s">
        <v>23</v>
      </c>
      <c r="B52" t="s">
        <v>39</v>
      </c>
      <c r="C52" s="4" t="s">
        <v>22</v>
      </c>
      <c r="D52" s="3">
        <f t="shared" si="4"/>
        <v>10</v>
      </c>
      <c r="E52" s="15">
        <v>57.7</v>
      </c>
      <c r="F52" s="15">
        <v>1.6</v>
      </c>
      <c r="G52" s="15">
        <f t="shared" si="3"/>
        <v>56.1</v>
      </c>
      <c r="H52" s="4" t="s">
        <v>20</v>
      </c>
    </row>
    <row r="53" spans="1:8" x14ac:dyDescent="0.25">
      <c r="A53" t="s">
        <v>23</v>
      </c>
      <c r="B53" t="s">
        <v>39</v>
      </c>
      <c r="C53" s="4" t="s">
        <v>22</v>
      </c>
      <c r="D53" s="3">
        <f t="shared" si="4"/>
        <v>11</v>
      </c>
      <c r="E53" s="15">
        <v>53.5</v>
      </c>
      <c r="F53" s="15">
        <v>1.8</v>
      </c>
      <c r="G53" s="15">
        <f t="shared" si="3"/>
        <v>51.7</v>
      </c>
      <c r="H53" s="4" t="s">
        <v>20</v>
      </c>
    </row>
    <row r="54" spans="1:8" x14ac:dyDescent="0.25">
      <c r="A54" t="s">
        <v>23</v>
      </c>
      <c r="B54" t="s">
        <v>39</v>
      </c>
      <c r="C54" s="4" t="s">
        <v>22</v>
      </c>
      <c r="D54" s="3">
        <f t="shared" si="4"/>
        <v>12</v>
      </c>
      <c r="E54" s="15">
        <v>54.6</v>
      </c>
      <c r="F54" s="15">
        <v>1.7</v>
      </c>
      <c r="G54" s="15">
        <f t="shared" si="3"/>
        <v>52.9</v>
      </c>
      <c r="H54" s="4" t="s">
        <v>20</v>
      </c>
    </row>
    <row r="55" spans="1:8" x14ac:dyDescent="0.25">
      <c r="A55" t="s">
        <v>23</v>
      </c>
      <c r="B55" t="s">
        <v>39</v>
      </c>
      <c r="C55" s="4" t="s">
        <v>22</v>
      </c>
      <c r="D55" s="3">
        <f t="shared" si="4"/>
        <v>13</v>
      </c>
      <c r="E55" s="15">
        <v>48.5</v>
      </c>
      <c r="F55" s="15">
        <v>1.6</v>
      </c>
      <c r="G55" s="15">
        <f t="shared" si="3"/>
        <v>46.9</v>
      </c>
      <c r="H55" s="4" t="s">
        <v>20</v>
      </c>
    </row>
    <row r="56" spans="1:8" ht="15.75" thickBot="1" x14ac:dyDescent="0.3">
      <c r="A56" t="s">
        <v>23</v>
      </c>
      <c r="B56" t="s">
        <v>39</v>
      </c>
      <c r="C56" s="4" t="s">
        <v>22</v>
      </c>
      <c r="D56" s="3">
        <f t="shared" si="4"/>
        <v>14</v>
      </c>
      <c r="E56" s="15">
        <v>51.8</v>
      </c>
      <c r="F56" s="15">
        <v>1.7</v>
      </c>
      <c r="G56" s="15">
        <f t="shared" si="3"/>
        <v>50.099999999999994</v>
      </c>
      <c r="H56" s="4" t="s">
        <v>20</v>
      </c>
    </row>
    <row r="57" spans="1:8" ht="16.5" thickTop="1" thickBot="1" x14ac:dyDescent="0.3">
      <c r="A57" s="75" t="s">
        <v>27</v>
      </c>
      <c r="B57" s="75"/>
      <c r="C57" s="75"/>
      <c r="D57" s="12">
        <f>D56</f>
        <v>14</v>
      </c>
      <c r="E57" s="14">
        <f>SUM(E43:E56)</f>
        <v>764.4</v>
      </c>
      <c r="F57" s="14">
        <f>SUM(F43:F56)</f>
        <v>23.700000000000003</v>
      </c>
      <c r="G57" s="14">
        <f>SUM(G43:G56)</f>
        <v>740.7</v>
      </c>
      <c r="H57" s="13"/>
    </row>
    <row r="58" spans="1:8" ht="6" customHeight="1" thickTop="1" x14ac:dyDescent="0.25"/>
    <row r="59" spans="1:8" ht="15.75" thickBot="1" x14ac:dyDescent="0.3">
      <c r="A59" s="1" t="s">
        <v>29</v>
      </c>
    </row>
    <row r="60" spans="1:8" ht="33" customHeight="1" thickTop="1" thickBot="1" x14ac:dyDescent="0.3">
      <c r="A60" s="9" t="s">
        <v>7</v>
      </c>
      <c r="B60" s="9" t="s">
        <v>2</v>
      </c>
      <c r="C60" s="10" t="s">
        <v>6</v>
      </c>
      <c r="D60" s="11" t="s">
        <v>30</v>
      </c>
      <c r="E60" s="11" t="s">
        <v>31</v>
      </c>
      <c r="F60" s="11" t="s">
        <v>32</v>
      </c>
      <c r="G60" s="11" t="s">
        <v>33</v>
      </c>
      <c r="H60" s="11" t="s">
        <v>37</v>
      </c>
    </row>
    <row r="61" spans="1:8" ht="16.5" thickTop="1" thickBot="1" x14ac:dyDescent="0.3">
      <c r="A61" t="s">
        <v>23</v>
      </c>
      <c r="B61" t="s">
        <v>39</v>
      </c>
      <c r="C61" s="4" t="s">
        <v>22</v>
      </c>
      <c r="D61" s="15">
        <f>450+20.9</f>
        <v>470.9</v>
      </c>
      <c r="E61" s="15">
        <v>251.7</v>
      </c>
      <c r="F61" s="15">
        <v>11.1</v>
      </c>
      <c r="G61" s="15">
        <f>G57-(D61+E61+F61)</f>
        <v>7.0000000000001137</v>
      </c>
      <c r="H61" s="15">
        <f>SUM(D61:G61)</f>
        <v>740.7</v>
      </c>
    </row>
    <row r="62" spans="1:8" ht="16.5" thickTop="1" thickBot="1" x14ac:dyDescent="0.3">
      <c r="A62" s="77" t="s">
        <v>52</v>
      </c>
      <c r="B62" s="77"/>
      <c r="C62" s="77"/>
      <c r="D62" s="20">
        <f>D61/$G$57</f>
        <v>0.63574996624814362</v>
      </c>
      <c r="E62" s="23">
        <f>E61/$G$57</f>
        <v>0.33981368975293635</v>
      </c>
      <c r="F62" s="23">
        <f>F61/$G$57</f>
        <v>1.4985824220332117E-2</v>
      </c>
      <c r="G62" s="23">
        <f>G61/$G$57</f>
        <v>9.4505197785879746E-3</v>
      </c>
      <c r="H62" s="17">
        <f>SUM(D62:G62)</f>
        <v>1</v>
      </c>
    </row>
    <row r="63" spans="1:8" ht="15.75" thickTop="1" x14ac:dyDescent="0.25">
      <c r="A63" s="19" t="s">
        <v>16</v>
      </c>
    </row>
    <row r="64" spans="1:8" ht="10.5" customHeight="1" x14ac:dyDescent="0.25">
      <c r="A64" s="7" t="s">
        <v>36</v>
      </c>
    </row>
    <row r="65" spans="1:8" ht="10.5" customHeight="1" x14ac:dyDescent="0.25">
      <c r="A65" s="7" t="s">
        <v>35</v>
      </c>
    </row>
    <row r="66" spans="1:8" ht="10.5" customHeight="1" x14ac:dyDescent="0.25">
      <c r="A66" s="7" t="s">
        <v>34</v>
      </c>
    </row>
    <row r="67" spans="1:8" ht="10.5" customHeight="1" x14ac:dyDescent="0.25">
      <c r="A67" s="7" t="s">
        <v>50</v>
      </c>
    </row>
    <row r="68" spans="1:8" ht="5.25" customHeight="1" x14ac:dyDescent="0.25"/>
    <row r="69" spans="1:8" ht="15.75" thickBot="1" x14ac:dyDescent="0.3">
      <c r="A69" s="1" t="s">
        <v>55</v>
      </c>
      <c r="B69" s="1" t="s">
        <v>40</v>
      </c>
    </row>
    <row r="70" spans="1:8" ht="16.5" thickTop="1" thickBot="1" x14ac:dyDescent="0.3">
      <c r="A70" s="9" t="s">
        <v>7</v>
      </c>
      <c r="B70" s="9" t="s">
        <v>2</v>
      </c>
      <c r="C70" s="10" t="s">
        <v>6</v>
      </c>
      <c r="D70" s="10" t="s">
        <v>25</v>
      </c>
      <c r="E70" s="10" t="s">
        <v>3</v>
      </c>
      <c r="F70" s="10" t="s">
        <v>4</v>
      </c>
      <c r="G70" s="10" t="s">
        <v>5</v>
      </c>
      <c r="H70" s="11" t="s">
        <v>26</v>
      </c>
    </row>
    <row r="71" spans="1:8" ht="15.75" thickTop="1" x14ac:dyDescent="0.25">
      <c r="A71" t="s">
        <v>23</v>
      </c>
      <c r="B71" t="s">
        <v>41</v>
      </c>
      <c r="C71" s="4" t="s">
        <v>22</v>
      </c>
      <c r="D71" s="3">
        <v>1</v>
      </c>
      <c r="E71" s="15">
        <v>48.4</v>
      </c>
      <c r="F71" s="15">
        <v>1.7</v>
      </c>
      <c r="G71" s="15">
        <f>E71-F71</f>
        <v>46.699999999999996</v>
      </c>
      <c r="H71" s="4" t="s">
        <v>20</v>
      </c>
    </row>
    <row r="72" spans="1:8" x14ac:dyDescent="0.25">
      <c r="A72" t="s">
        <v>23</v>
      </c>
      <c r="B72" t="s">
        <v>41</v>
      </c>
      <c r="C72" s="4" t="s">
        <v>22</v>
      </c>
      <c r="D72" s="3">
        <f>D71+1</f>
        <v>2</v>
      </c>
      <c r="E72" s="15">
        <v>39.799999999999997</v>
      </c>
      <c r="F72" s="15">
        <v>1.5</v>
      </c>
      <c r="G72" s="15">
        <f t="shared" ref="G72:G81" si="5">E72-F72</f>
        <v>38.299999999999997</v>
      </c>
      <c r="H72" s="4" t="s">
        <v>20</v>
      </c>
    </row>
    <row r="73" spans="1:8" x14ac:dyDescent="0.25">
      <c r="A73" t="s">
        <v>23</v>
      </c>
      <c r="B73" t="s">
        <v>41</v>
      </c>
      <c r="C73" s="4" t="s">
        <v>22</v>
      </c>
      <c r="D73" s="3">
        <f t="shared" ref="D73:D87" si="6">D72+1</f>
        <v>3</v>
      </c>
      <c r="E73" s="15">
        <v>52.7</v>
      </c>
      <c r="F73" s="15">
        <v>1.7</v>
      </c>
      <c r="G73" s="15">
        <f t="shared" si="5"/>
        <v>51</v>
      </c>
      <c r="H73" s="4" t="s">
        <v>20</v>
      </c>
    </row>
    <row r="74" spans="1:8" x14ac:dyDescent="0.25">
      <c r="A74" t="s">
        <v>23</v>
      </c>
      <c r="B74" t="s">
        <v>41</v>
      </c>
      <c r="C74" s="4" t="s">
        <v>22</v>
      </c>
      <c r="D74" s="3">
        <f t="shared" si="6"/>
        <v>4</v>
      </c>
      <c r="E74" s="15">
        <v>51</v>
      </c>
      <c r="F74" s="15">
        <v>1.7</v>
      </c>
      <c r="G74" s="15">
        <f t="shared" si="5"/>
        <v>49.3</v>
      </c>
      <c r="H74" s="4" t="s">
        <v>20</v>
      </c>
    </row>
    <row r="75" spans="1:8" x14ac:dyDescent="0.25">
      <c r="A75" t="s">
        <v>23</v>
      </c>
      <c r="B75" t="s">
        <v>41</v>
      </c>
      <c r="C75" s="4" t="s">
        <v>22</v>
      </c>
      <c r="D75" s="3">
        <f t="shared" si="6"/>
        <v>5</v>
      </c>
      <c r="E75" s="15">
        <v>43</v>
      </c>
      <c r="F75" s="15">
        <v>1.7</v>
      </c>
      <c r="G75" s="15">
        <f t="shared" si="5"/>
        <v>41.3</v>
      </c>
      <c r="H75" s="4" t="s">
        <v>20</v>
      </c>
    </row>
    <row r="76" spans="1:8" x14ac:dyDescent="0.25">
      <c r="A76" t="s">
        <v>23</v>
      </c>
      <c r="B76" t="s">
        <v>41</v>
      </c>
      <c r="C76" s="4" t="s">
        <v>22</v>
      </c>
      <c r="D76" s="3">
        <f t="shared" si="6"/>
        <v>6</v>
      </c>
      <c r="E76" s="15">
        <v>44</v>
      </c>
      <c r="F76" s="15">
        <v>1.5</v>
      </c>
      <c r="G76" s="15">
        <f t="shared" si="5"/>
        <v>42.5</v>
      </c>
      <c r="H76" s="4" t="s">
        <v>20</v>
      </c>
    </row>
    <row r="77" spans="1:8" x14ac:dyDescent="0.25">
      <c r="A77" t="s">
        <v>23</v>
      </c>
      <c r="B77" t="s">
        <v>41</v>
      </c>
      <c r="C77" s="4" t="s">
        <v>22</v>
      </c>
      <c r="D77" s="3">
        <f t="shared" si="6"/>
        <v>7</v>
      </c>
      <c r="E77" s="15">
        <v>46.7</v>
      </c>
      <c r="F77" s="15">
        <v>2.1</v>
      </c>
      <c r="G77" s="15">
        <f t="shared" si="5"/>
        <v>44.6</v>
      </c>
      <c r="H77" s="4" t="s">
        <v>20</v>
      </c>
    </row>
    <row r="78" spans="1:8" x14ac:dyDescent="0.25">
      <c r="A78" t="s">
        <v>23</v>
      </c>
      <c r="B78" t="s">
        <v>41</v>
      </c>
      <c r="C78" s="4" t="s">
        <v>22</v>
      </c>
      <c r="D78" s="3">
        <f t="shared" si="6"/>
        <v>8</v>
      </c>
      <c r="E78" s="15">
        <v>50.2</v>
      </c>
      <c r="F78" s="15">
        <v>1.6</v>
      </c>
      <c r="G78" s="15">
        <f t="shared" si="5"/>
        <v>48.6</v>
      </c>
      <c r="H78" s="4" t="s">
        <v>20</v>
      </c>
    </row>
    <row r="79" spans="1:8" x14ac:dyDescent="0.25">
      <c r="A79" t="s">
        <v>23</v>
      </c>
      <c r="B79" t="s">
        <v>41</v>
      </c>
      <c r="C79" s="4" t="s">
        <v>22</v>
      </c>
      <c r="D79" s="3">
        <f t="shared" si="6"/>
        <v>9</v>
      </c>
      <c r="E79" s="15">
        <v>44.1</v>
      </c>
      <c r="F79" s="15">
        <v>1.9</v>
      </c>
      <c r="G79" s="15">
        <f t="shared" si="5"/>
        <v>42.2</v>
      </c>
      <c r="H79" s="4" t="s">
        <v>20</v>
      </c>
    </row>
    <row r="80" spans="1:8" x14ac:dyDescent="0.25">
      <c r="A80" t="s">
        <v>23</v>
      </c>
      <c r="B80" t="s">
        <v>41</v>
      </c>
      <c r="C80" s="4" t="s">
        <v>22</v>
      </c>
      <c r="D80" s="3">
        <f t="shared" si="6"/>
        <v>10</v>
      </c>
      <c r="E80" s="15">
        <v>46.5</v>
      </c>
      <c r="F80" s="15">
        <v>1.9</v>
      </c>
      <c r="G80" s="15">
        <f t="shared" si="5"/>
        <v>44.6</v>
      </c>
      <c r="H80" s="4" t="s">
        <v>20</v>
      </c>
    </row>
    <row r="81" spans="1:8" x14ac:dyDescent="0.25">
      <c r="A81" t="s">
        <v>23</v>
      </c>
      <c r="B81" t="s">
        <v>41</v>
      </c>
      <c r="C81" s="4" t="s">
        <v>22</v>
      </c>
      <c r="D81" s="3">
        <f t="shared" si="6"/>
        <v>11</v>
      </c>
      <c r="E81" s="15">
        <v>41.4</v>
      </c>
      <c r="F81" s="15">
        <v>1.6</v>
      </c>
      <c r="G81" s="15">
        <f t="shared" si="5"/>
        <v>39.799999999999997</v>
      </c>
      <c r="H81" s="4" t="s">
        <v>20</v>
      </c>
    </row>
    <row r="82" spans="1:8" x14ac:dyDescent="0.25">
      <c r="A82" t="s">
        <v>23</v>
      </c>
      <c r="B82" t="s">
        <v>41</v>
      </c>
      <c r="C82" s="4" t="s">
        <v>22</v>
      </c>
      <c r="D82" s="3">
        <f t="shared" si="6"/>
        <v>12</v>
      </c>
      <c r="E82" s="15">
        <v>48.3</v>
      </c>
      <c r="F82" s="15">
        <v>1.9</v>
      </c>
      <c r="G82" s="15">
        <f>E82-F82</f>
        <v>46.4</v>
      </c>
      <c r="H82" s="4" t="s">
        <v>20</v>
      </c>
    </row>
    <row r="83" spans="1:8" x14ac:dyDescent="0.25">
      <c r="A83" t="s">
        <v>23</v>
      </c>
      <c r="B83" t="s">
        <v>41</v>
      </c>
      <c r="C83" s="4" t="s">
        <v>22</v>
      </c>
      <c r="D83" s="3">
        <f t="shared" si="6"/>
        <v>13</v>
      </c>
      <c r="E83" s="15">
        <v>47.1</v>
      </c>
      <c r="F83" s="15">
        <v>1.8</v>
      </c>
      <c r="G83" s="15">
        <f t="shared" ref="G83:G87" si="7">E83-F83</f>
        <v>45.300000000000004</v>
      </c>
      <c r="H83" s="4" t="s">
        <v>20</v>
      </c>
    </row>
    <row r="84" spans="1:8" x14ac:dyDescent="0.25">
      <c r="A84" t="s">
        <v>23</v>
      </c>
      <c r="B84" t="s">
        <v>41</v>
      </c>
      <c r="C84" s="4" t="s">
        <v>22</v>
      </c>
      <c r="D84" s="3">
        <f t="shared" si="6"/>
        <v>14</v>
      </c>
      <c r="E84" s="15">
        <v>46.5</v>
      </c>
      <c r="F84" s="15">
        <v>1.7</v>
      </c>
      <c r="G84" s="15">
        <f t="shared" si="7"/>
        <v>44.8</v>
      </c>
      <c r="H84" s="4" t="s">
        <v>20</v>
      </c>
    </row>
    <row r="85" spans="1:8" x14ac:dyDescent="0.25">
      <c r="A85" t="s">
        <v>23</v>
      </c>
      <c r="B85" t="s">
        <v>41</v>
      </c>
      <c r="C85" s="4" t="s">
        <v>22</v>
      </c>
      <c r="D85" s="3">
        <f t="shared" si="6"/>
        <v>15</v>
      </c>
      <c r="E85" s="15">
        <v>51.8</v>
      </c>
      <c r="F85" s="15">
        <v>1.5</v>
      </c>
      <c r="G85" s="15">
        <f t="shared" si="7"/>
        <v>50.3</v>
      </c>
      <c r="H85" s="4" t="s">
        <v>20</v>
      </c>
    </row>
    <row r="86" spans="1:8" x14ac:dyDescent="0.25">
      <c r="A86" t="s">
        <v>23</v>
      </c>
      <c r="B86" t="s">
        <v>41</v>
      </c>
      <c r="C86" s="4" t="s">
        <v>22</v>
      </c>
      <c r="D86" s="3">
        <f t="shared" si="6"/>
        <v>16</v>
      </c>
      <c r="E86" s="15">
        <v>49.2</v>
      </c>
      <c r="F86" s="15">
        <v>1.7</v>
      </c>
      <c r="G86" s="15">
        <f t="shared" si="7"/>
        <v>47.5</v>
      </c>
      <c r="H86" s="4" t="s">
        <v>20</v>
      </c>
    </row>
    <row r="87" spans="1:8" ht="15.75" thickBot="1" x14ac:dyDescent="0.3">
      <c r="A87" t="s">
        <v>23</v>
      </c>
      <c r="B87" t="s">
        <v>41</v>
      </c>
      <c r="C87" s="4" t="s">
        <v>22</v>
      </c>
      <c r="D87" s="3">
        <f t="shared" si="6"/>
        <v>17</v>
      </c>
      <c r="E87" s="15">
        <v>3.1</v>
      </c>
      <c r="F87" s="15">
        <v>0.2</v>
      </c>
      <c r="G87" s="15">
        <f t="shared" si="7"/>
        <v>2.9</v>
      </c>
      <c r="H87" s="4" t="s">
        <v>42</v>
      </c>
    </row>
    <row r="88" spans="1:8" ht="16.5" thickTop="1" thickBot="1" x14ac:dyDescent="0.3">
      <c r="A88" s="75" t="s">
        <v>27</v>
      </c>
      <c r="B88" s="75"/>
      <c r="C88" s="75"/>
      <c r="D88" s="12">
        <f>D87</f>
        <v>17</v>
      </c>
      <c r="E88" s="14">
        <f>SUM(E71:E87)</f>
        <v>753.8</v>
      </c>
      <c r="F88" s="14">
        <f>SUM(F71:F87)</f>
        <v>27.7</v>
      </c>
      <c r="G88" s="14">
        <f>SUM(G71:G87)</f>
        <v>726.09999999999991</v>
      </c>
      <c r="H88" s="13"/>
    </row>
    <row r="89" spans="1:8" ht="6.75" customHeight="1" thickTop="1" x14ac:dyDescent="0.25"/>
    <row r="90" spans="1:8" ht="15.75" thickBot="1" x14ac:dyDescent="0.3">
      <c r="A90" s="1" t="s">
        <v>29</v>
      </c>
    </row>
    <row r="91" spans="1:8" ht="31.5" thickTop="1" thickBot="1" x14ac:dyDescent="0.3">
      <c r="A91" s="9" t="s">
        <v>7</v>
      </c>
      <c r="B91" s="9" t="s">
        <v>2</v>
      </c>
      <c r="C91" s="10" t="s">
        <v>6</v>
      </c>
      <c r="D91" s="11" t="s">
        <v>30</v>
      </c>
      <c r="E91" s="11" t="s">
        <v>31</v>
      </c>
      <c r="F91" s="11" t="s">
        <v>32</v>
      </c>
      <c r="G91" s="11" t="s">
        <v>33</v>
      </c>
      <c r="H91" s="11" t="s">
        <v>37</v>
      </c>
    </row>
    <row r="92" spans="1:8" ht="16.5" thickTop="1" thickBot="1" x14ac:dyDescent="0.3">
      <c r="A92" t="s">
        <v>23</v>
      </c>
      <c r="B92" t="s">
        <v>41</v>
      </c>
      <c r="C92" s="4" t="s">
        <v>22</v>
      </c>
      <c r="D92" s="15">
        <v>496.2</v>
      </c>
      <c r="E92" s="15">
        <v>211.4</v>
      </c>
      <c r="F92" s="15">
        <v>7.1</v>
      </c>
      <c r="G92" s="15">
        <f>G88-(D92+E92+F92)</f>
        <v>11.399999999999864</v>
      </c>
      <c r="H92" s="15">
        <f>SUM(D92:G92)</f>
        <v>726.09999999999991</v>
      </c>
    </row>
    <row r="93" spans="1:8" ht="16.5" thickTop="1" thickBot="1" x14ac:dyDescent="0.3">
      <c r="A93" s="77" t="s">
        <v>52</v>
      </c>
      <c r="B93" s="77"/>
      <c r="C93" s="77"/>
      <c r="D93" s="20">
        <f>D92/$G$88</f>
        <v>0.68337694532433557</v>
      </c>
      <c r="E93" s="23">
        <f t="shared" ref="E93:G93" si="8">E92/$G$88</f>
        <v>0.29114447045861458</v>
      </c>
      <c r="F93" s="23">
        <f t="shared" si="8"/>
        <v>9.7782674562732416E-3</v>
      </c>
      <c r="G93" s="23">
        <f t="shared" si="8"/>
        <v>1.5700316760776566E-2</v>
      </c>
      <c r="H93" s="17">
        <f>SUM(D93:G93)</f>
        <v>0.99999999999999989</v>
      </c>
    </row>
    <row r="94" spans="1:8" ht="15.75" thickTop="1" x14ac:dyDescent="0.25">
      <c r="A94" s="19" t="s">
        <v>16</v>
      </c>
    </row>
    <row r="95" spans="1:8" ht="11.25" customHeight="1" x14ac:dyDescent="0.25">
      <c r="A95" s="7" t="s">
        <v>36</v>
      </c>
    </row>
    <row r="96" spans="1:8" ht="11.25" customHeight="1" x14ac:dyDescent="0.25">
      <c r="A96" s="7" t="s">
        <v>35</v>
      </c>
    </row>
    <row r="97" spans="1:8" ht="11.25" customHeight="1" x14ac:dyDescent="0.25">
      <c r="A97" s="7" t="s">
        <v>34</v>
      </c>
    </row>
    <row r="98" spans="1:8" ht="11.25" customHeight="1" x14ac:dyDescent="0.25">
      <c r="A98" s="7" t="s">
        <v>50</v>
      </c>
    </row>
    <row r="99" spans="1:8" ht="6.75" customHeight="1" x14ac:dyDescent="0.25"/>
    <row r="100" spans="1:8" ht="15.75" thickBot="1" x14ac:dyDescent="0.3">
      <c r="A100" s="1" t="s">
        <v>56</v>
      </c>
      <c r="B100" s="1" t="s">
        <v>43</v>
      </c>
    </row>
    <row r="101" spans="1:8" ht="16.5" thickTop="1" thickBot="1" x14ac:dyDescent="0.3">
      <c r="A101" s="9" t="s">
        <v>7</v>
      </c>
      <c r="B101" s="9" t="s">
        <v>2</v>
      </c>
      <c r="C101" s="10" t="s">
        <v>6</v>
      </c>
      <c r="D101" s="10" t="s">
        <v>25</v>
      </c>
      <c r="E101" s="10" t="s">
        <v>3</v>
      </c>
      <c r="F101" s="10" t="s">
        <v>4</v>
      </c>
      <c r="G101" s="10" t="s">
        <v>5</v>
      </c>
      <c r="H101" s="11" t="s">
        <v>26</v>
      </c>
    </row>
    <row r="102" spans="1:8" ht="15.75" thickTop="1" x14ac:dyDescent="0.25">
      <c r="A102" t="s">
        <v>23</v>
      </c>
      <c r="B102" t="s">
        <v>44</v>
      </c>
      <c r="C102" s="4" t="s">
        <v>22</v>
      </c>
      <c r="D102" s="3">
        <v>1</v>
      </c>
      <c r="E102" s="15">
        <v>44.6</v>
      </c>
      <c r="F102" s="15">
        <v>1.5</v>
      </c>
      <c r="G102" s="15">
        <f>E102-F102</f>
        <v>43.1</v>
      </c>
      <c r="H102" s="4" t="s">
        <v>20</v>
      </c>
    </row>
    <row r="103" spans="1:8" x14ac:dyDescent="0.25">
      <c r="A103" t="s">
        <v>23</v>
      </c>
      <c r="B103" t="s">
        <v>44</v>
      </c>
      <c r="C103" s="4" t="s">
        <v>22</v>
      </c>
      <c r="D103" s="3">
        <f>D102+1</f>
        <v>2</v>
      </c>
      <c r="E103" s="15">
        <v>47.9</v>
      </c>
      <c r="F103" s="15">
        <v>1.5</v>
      </c>
      <c r="G103" s="15">
        <f t="shared" ref="G103:G107" si="9">E103-F103</f>
        <v>46.4</v>
      </c>
      <c r="H103" s="4" t="s">
        <v>20</v>
      </c>
    </row>
    <row r="104" spans="1:8" x14ac:dyDescent="0.25">
      <c r="A104" t="s">
        <v>23</v>
      </c>
      <c r="B104" t="s">
        <v>44</v>
      </c>
      <c r="C104" s="4" t="s">
        <v>22</v>
      </c>
      <c r="D104" s="3">
        <f t="shared" ref="D104:D107" si="10">D103+1</f>
        <v>3</v>
      </c>
      <c r="E104" s="15">
        <v>48.5</v>
      </c>
      <c r="F104" s="15">
        <v>1</v>
      </c>
      <c r="G104" s="15">
        <f t="shared" si="9"/>
        <v>47.5</v>
      </c>
      <c r="H104" s="4" t="s">
        <v>20</v>
      </c>
    </row>
    <row r="105" spans="1:8" x14ac:dyDescent="0.25">
      <c r="A105" t="s">
        <v>23</v>
      </c>
      <c r="B105" t="s">
        <v>44</v>
      </c>
      <c r="C105" s="4" t="s">
        <v>22</v>
      </c>
      <c r="D105" s="3">
        <f t="shared" si="10"/>
        <v>4</v>
      </c>
      <c r="E105" s="15">
        <v>49.7</v>
      </c>
      <c r="F105" s="15">
        <v>1.2</v>
      </c>
      <c r="G105" s="15">
        <f t="shared" si="9"/>
        <v>48.5</v>
      </c>
      <c r="H105" s="4" t="s">
        <v>20</v>
      </c>
    </row>
    <row r="106" spans="1:8" x14ac:dyDescent="0.25">
      <c r="A106" t="s">
        <v>23</v>
      </c>
      <c r="B106" t="s">
        <v>44</v>
      </c>
      <c r="C106" s="4" t="s">
        <v>22</v>
      </c>
      <c r="D106" s="3">
        <f t="shared" si="10"/>
        <v>5</v>
      </c>
      <c r="E106" s="15">
        <v>44.2</v>
      </c>
      <c r="F106" s="15">
        <v>1.4</v>
      </c>
      <c r="G106" s="15">
        <f t="shared" si="9"/>
        <v>42.800000000000004</v>
      </c>
      <c r="H106" s="4" t="s">
        <v>20</v>
      </c>
    </row>
    <row r="107" spans="1:8" ht="15.75" thickBot="1" x14ac:dyDescent="0.3">
      <c r="A107" t="s">
        <v>23</v>
      </c>
      <c r="B107" t="s">
        <v>44</v>
      </c>
      <c r="C107" s="4" t="s">
        <v>22</v>
      </c>
      <c r="D107" s="3">
        <f t="shared" si="10"/>
        <v>6</v>
      </c>
      <c r="E107" s="15">
        <v>49.3</v>
      </c>
      <c r="F107" s="15">
        <v>1.1000000000000001</v>
      </c>
      <c r="G107" s="15">
        <f t="shared" si="9"/>
        <v>48.199999999999996</v>
      </c>
      <c r="H107" s="4" t="s">
        <v>20</v>
      </c>
    </row>
    <row r="108" spans="1:8" ht="16.5" thickTop="1" thickBot="1" x14ac:dyDescent="0.3">
      <c r="A108" s="75" t="s">
        <v>27</v>
      </c>
      <c r="B108" s="75"/>
      <c r="C108" s="75"/>
      <c r="D108" s="12">
        <f>D107</f>
        <v>6</v>
      </c>
      <c r="E108" s="14">
        <f>SUM(E102:E107)</f>
        <v>284.2</v>
      </c>
      <c r="F108" s="14">
        <f>SUM(F102:F107)</f>
        <v>7.6999999999999993</v>
      </c>
      <c r="G108" s="14">
        <f>SUM(G102:G107)</f>
        <v>276.5</v>
      </c>
      <c r="H108" s="13"/>
    </row>
    <row r="109" spans="1:8" ht="8.25" customHeight="1" thickTop="1" x14ac:dyDescent="0.25"/>
    <row r="110" spans="1:8" ht="15.75" thickBot="1" x14ac:dyDescent="0.3">
      <c r="A110" s="1" t="s">
        <v>29</v>
      </c>
    </row>
    <row r="111" spans="1:8" ht="31.5" thickTop="1" thickBot="1" x14ac:dyDescent="0.3">
      <c r="A111" s="9" t="s">
        <v>7</v>
      </c>
      <c r="B111" s="9" t="s">
        <v>2</v>
      </c>
      <c r="C111" s="10" t="s">
        <v>6</v>
      </c>
      <c r="D111" s="11" t="s">
        <v>30</v>
      </c>
      <c r="E111" s="11" t="s">
        <v>31</v>
      </c>
      <c r="F111" s="11" t="s">
        <v>32</v>
      </c>
      <c r="G111" s="11" t="s">
        <v>33</v>
      </c>
      <c r="H111" s="11" t="s">
        <v>37</v>
      </c>
    </row>
    <row r="112" spans="1:8" ht="16.5" thickTop="1" thickBot="1" x14ac:dyDescent="0.3">
      <c r="A112" t="s">
        <v>23</v>
      </c>
      <c r="B112" t="s">
        <v>44</v>
      </c>
      <c r="C112" s="4" t="s">
        <v>22</v>
      </c>
      <c r="D112" s="15">
        <v>187.2</v>
      </c>
      <c r="E112" s="15">
        <v>78.400000000000006</v>
      </c>
      <c r="F112" s="15">
        <v>3.4</v>
      </c>
      <c r="G112" s="15">
        <f>G108-(D112+E112+F112)</f>
        <v>7.5</v>
      </c>
      <c r="H112" s="15">
        <f>SUM(D112:G112)</f>
        <v>276.5</v>
      </c>
    </row>
    <row r="113" spans="1:8" ht="16.5" thickTop="1" thickBot="1" x14ac:dyDescent="0.3">
      <c r="A113" s="77" t="s">
        <v>52</v>
      </c>
      <c r="B113" s="77"/>
      <c r="C113" s="77"/>
      <c r="D113" s="20">
        <f>D112/$G$108</f>
        <v>0.67703435804701628</v>
      </c>
      <c r="E113" s="16">
        <f t="shared" ref="E113:G113" si="11">E112/$G$108</f>
        <v>0.28354430379746837</v>
      </c>
      <c r="F113" s="16">
        <f t="shared" si="11"/>
        <v>1.2296564195298372E-2</v>
      </c>
      <c r="G113" s="23">
        <f t="shared" si="11"/>
        <v>2.7124773960216998E-2</v>
      </c>
      <c r="H113" s="17">
        <f>SUM(D113:G113)</f>
        <v>1</v>
      </c>
    </row>
    <row r="114" spans="1:8" ht="15.75" thickTop="1" x14ac:dyDescent="0.25">
      <c r="A114" s="19" t="s">
        <v>16</v>
      </c>
    </row>
    <row r="115" spans="1:8" ht="12" customHeight="1" x14ac:dyDescent="0.25">
      <c r="A115" s="7" t="s">
        <v>36</v>
      </c>
    </row>
    <row r="116" spans="1:8" ht="12" customHeight="1" x14ac:dyDescent="0.25">
      <c r="A116" s="7" t="s">
        <v>35</v>
      </c>
    </row>
    <row r="117" spans="1:8" ht="12" customHeight="1" x14ac:dyDescent="0.25">
      <c r="A117" s="7" t="s">
        <v>34</v>
      </c>
    </row>
    <row r="118" spans="1:8" ht="12" customHeight="1" x14ac:dyDescent="0.25">
      <c r="A118" s="7" t="s">
        <v>50</v>
      </c>
    </row>
    <row r="119" spans="1:8" ht="10.5" customHeight="1" x14ac:dyDescent="0.25"/>
    <row r="120" spans="1:8" ht="15.75" thickBot="1" x14ac:dyDescent="0.3">
      <c r="A120" s="1" t="s">
        <v>57</v>
      </c>
      <c r="B120" s="1" t="s">
        <v>45</v>
      </c>
    </row>
    <row r="121" spans="1:8" ht="16.5" thickTop="1" thickBot="1" x14ac:dyDescent="0.3">
      <c r="A121" s="9" t="s">
        <v>7</v>
      </c>
      <c r="B121" s="9" t="s">
        <v>2</v>
      </c>
      <c r="C121" s="10" t="s">
        <v>6</v>
      </c>
      <c r="D121" s="10" t="s">
        <v>25</v>
      </c>
      <c r="E121" s="10" t="s">
        <v>3</v>
      </c>
      <c r="F121" s="10" t="s">
        <v>4</v>
      </c>
      <c r="G121" s="10" t="s">
        <v>5</v>
      </c>
      <c r="H121" s="11" t="s">
        <v>26</v>
      </c>
    </row>
    <row r="122" spans="1:8" ht="15.75" thickTop="1" x14ac:dyDescent="0.25">
      <c r="A122" t="s">
        <v>23</v>
      </c>
      <c r="B122" t="s">
        <v>46</v>
      </c>
      <c r="C122" s="4" t="s">
        <v>47</v>
      </c>
      <c r="D122" s="3">
        <v>1</v>
      </c>
      <c r="E122" s="15">
        <f>784.7/8</f>
        <v>98.087500000000006</v>
      </c>
      <c r="F122" s="15">
        <v>15.3</v>
      </c>
      <c r="G122" s="15">
        <f>E122-F122</f>
        <v>82.787500000000009</v>
      </c>
      <c r="H122" s="4" t="s">
        <v>20</v>
      </c>
    </row>
    <row r="123" spans="1:8" x14ac:dyDescent="0.25">
      <c r="A123" t="s">
        <v>23</v>
      </c>
      <c r="B123" t="s">
        <v>46</v>
      </c>
      <c r="C123" s="4" t="s">
        <v>47</v>
      </c>
      <c r="D123" s="3">
        <f>D122+1</f>
        <v>2</v>
      </c>
      <c r="E123" s="15">
        <v>98.087500000000006</v>
      </c>
      <c r="F123" s="15">
        <v>15.3</v>
      </c>
      <c r="G123" s="15">
        <f t="shared" ref="G123:G129" si="12">E123-F123</f>
        <v>82.787500000000009</v>
      </c>
      <c r="H123" s="4" t="s">
        <v>20</v>
      </c>
    </row>
    <row r="124" spans="1:8" x14ac:dyDescent="0.25">
      <c r="A124" t="s">
        <v>23</v>
      </c>
      <c r="B124" t="s">
        <v>46</v>
      </c>
      <c r="C124" s="4" t="s">
        <v>47</v>
      </c>
      <c r="D124" s="3">
        <f t="shared" ref="D124:D129" si="13">D123+1</f>
        <v>3</v>
      </c>
      <c r="E124" s="15">
        <v>98.087500000000006</v>
      </c>
      <c r="F124" s="15">
        <v>15.3</v>
      </c>
      <c r="G124" s="15">
        <f t="shared" si="12"/>
        <v>82.787500000000009</v>
      </c>
      <c r="H124" s="4" t="s">
        <v>20</v>
      </c>
    </row>
    <row r="125" spans="1:8" x14ac:dyDescent="0.25">
      <c r="A125" t="s">
        <v>23</v>
      </c>
      <c r="B125" t="s">
        <v>46</v>
      </c>
      <c r="C125" s="4" t="s">
        <v>47</v>
      </c>
      <c r="D125" s="3">
        <f t="shared" si="13"/>
        <v>4</v>
      </c>
      <c r="E125" s="15">
        <v>98.087500000000006</v>
      </c>
      <c r="F125" s="15">
        <v>15.3</v>
      </c>
      <c r="G125" s="15">
        <f t="shared" si="12"/>
        <v>82.787500000000009</v>
      </c>
      <c r="H125" s="4" t="s">
        <v>20</v>
      </c>
    </row>
    <row r="126" spans="1:8" x14ac:dyDescent="0.25">
      <c r="A126" t="s">
        <v>23</v>
      </c>
      <c r="B126" t="s">
        <v>46</v>
      </c>
      <c r="C126" s="4" t="s">
        <v>47</v>
      </c>
      <c r="D126" s="3">
        <f t="shared" si="13"/>
        <v>5</v>
      </c>
      <c r="E126" s="15">
        <v>98.087500000000006</v>
      </c>
      <c r="F126" s="15">
        <v>15.3</v>
      </c>
      <c r="G126" s="15">
        <f t="shared" si="12"/>
        <v>82.787500000000009</v>
      </c>
      <c r="H126" s="4" t="s">
        <v>20</v>
      </c>
    </row>
    <row r="127" spans="1:8" x14ac:dyDescent="0.25">
      <c r="A127" t="s">
        <v>23</v>
      </c>
      <c r="B127" t="s">
        <v>46</v>
      </c>
      <c r="C127" s="4" t="s">
        <v>47</v>
      </c>
      <c r="D127" s="3">
        <f t="shared" si="13"/>
        <v>6</v>
      </c>
      <c r="E127" s="15">
        <v>98.087500000000006</v>
      </c>
      <c r="F127" s="15">
        <v>15.3</v>
      </c>
      <c r="G127" s="15">
        <f t="shared" si="12"/>
        <v>82.787500000000009</v>
      </c>
      <c r="H127" s="4" t="s">
        <v>20</v>
      </c>
    </row>
    <row r="128" spans="1:8" x14ac:dyDescent="0.25">
      <c r="A128" t="s">
        <v>23</v>
      </c>
      <c r="B128" t="s">
        <v>46</v>
      </c>
      <c r="C128" s="4" t="s">
        <v>47</v>
      </c>
      <c r="D128" s="3">
        <f t="shared" si="13"/>
        <v>7</v>
      </c>
      <c r="E128" s="15">
        <v>98.087500000000006</v>
      </c>
      <c r="F128" s="15">
        <v>15.3</v>
      </c>
      <c r="G128" s="15">
        <f t="shared" si="12"/>
        <v>82.787500000000009</v>
      </c>
      <c r="H128" s="4" t="s">
        <v>20</v>
      </c>
    </row>
    <row r="129" spans="1:8" ht="15.75" thickBot="1" x14ac:dyDescent="0.3">
      <c r="A129" t="s">
        <v>23</v>
      </c>
      <c r="B129" t="s">
        <v>46</v>
      </c>
      <c r="C129" s="4" t="s">
        <v>47</v>
      </c>
      <c r="D129" s="3">
        <f t="shared" si="13"/>
        <v>8</v>
      </c>
      <c r="E129" s="15">
        <v>98.087500000000006</v>
      </c>
      <c r="F129" s="15">
        <v>15.3</v>
      </c>
      <c r="G129" s="15">
        <f t="shared" si="12"/>
        <v>82.787500000000009</v>
      </c>
      <c r="H129" s="4" t="s">
        <v>20</v>
      </c>
    </row>
    <row r="130" spans="1:8" ht="16.5" thickTop="1" thickBot="1" x14ac:dyDescent="0.3">
      <c r="A130" s="75" t="s">
        <v>27</v>
      </c>
      <c r="B130" s="75"/>
      <c r="C130" s="75"/>
      <c r="D130" s="12">
        <f>D129</f>
        <v>8</v>
      </c>
      <c r="E130" s="14">
        <f>SUM(E122:E129)</f>
        <v>784.69999999999993</v>
      </c>
      <c r="F130" s="14">
        <f>SUM(F122:F129)</f>
        <v>122.39999999999999</v>
      </c>
      <c r="G130" s="14">
        <f>SUM(G122:G129)</f>
        <v>662.30000000000007</v>
      </c>
      <c r="H130" s="13"/>
    </row>
    <row r="131" spans="1:8" ht="7.5" customHeight="1" thickTop="1" x14ac:dyDescent="0.25"/>
    <row r="132" spans="1:8" ht="15.75" thickBot="1" x14ac:dyDescent="0.3">
      <c r="A132" s="1" t="s">
        <v>29</v>
      </c>
    </row>
    <row r="133" spans="1:8" ht="31.5" thickTop="1" thickBot="1" x14ac:dyDescent="0.3">
      <c r="A133" s="9" t="s">
        <v>7</v>
      </c>
      <c r="B133" s="9" t="s">
        <v>2</v>
      </c>
      <c r="C133" s="10" t="s">
        <v>6</v>
      </c>
      <c r="D133" s="11" t="s">
        <v>30</v>
      </c>
      <c r="E133" s="11" t="s">
        <v>31</v>
      </c>
      <c r="F133" s="11" t="s">
        <v>32</v>
      </c>
      <c r="G133" s="11" t="s">
        <v>33</v>
      </c>
      <c r="H133" s="11" t="s">
        <v>37</v>
      </c>
    </row>
    <row r="134" spans="1:8" ht="16.5" thickTop="1" thickBot="1" x14ac:dyDescent="0.3">
      <c r="A134" t="s">
        <v>23</v>
      </c>
      <c r="B134" t="s">
        <v>46</v>
      </c>
      <c r="C134" s="4" t="s">
        <v>47</v>
      </c>
      <c r="D134" s="15">
        <v>511</v>
      </c>
      <c r="E134" s="15">
        <v>126.6</v>
      </c>
      <c r="F134" s="15">
        <v>10.8</v>
      </c>
      <c r="G134" s="18">
        <f>G130-(D134+E134+F134)</f>
        <v>13.900000000000091</v>
      </c>
      <c r="H134" s="15">
        <f>SUM(D134:G134)</f>
        <v>662.30000000000007</v>
      </c>
    </row>
    <row r="135" spans="1:8" ht="16.5" thickTop="1" thickBot="1" x14ac:dyDescent="0.3">
      <c r="A135" s="77" t="s">
        <v>52</v>
      </c>
      <c r="B135" s="77"/>
      <c r="C135" s="77"/>
      <c r="D135" s="20">
        <f>D134/$G$130</f>
        <v>0.77155367658160945</v>
      </c>
      <c r="E135" s="16">
        <f t="shared" ref="E135:G135" si="14">E134/$G$130</f>
        <v>0.19115204590064921</v>
      </c>
      <c r="F135" s="16">
        <f t="shared" si="14"/>
        <v>1.6306809602898986E-2</v>
      </c>
      <c r="G135" s="16">
        <f t="shared" si="14"/>
        <v>2.098746791484235E-2</v>
      </c>
      <c r="H135" s="17">
        <f>SUM(D135:G135)</f>
        <v>1</v>
      </c>
    </row>
    <row r="136" spans="1:8" ht="15.75" thickTop="1" x14ac:dyDescent="0.25">
      <c r="A136" s="19" t="s">
        <v>16</v>
      </c>
    </row>
    <row r="137" spans="1:8" ht="10.5" customHeight="1" x14ac:dyDescent="0.25">
      <c r="A137" s="7" t="s">
        <v>48</v>
      </c>
    </row>
    <row r="138" spans="1:8" ht="10.5" customHeight="1" x14ac:dyDescent="0.25">
      <c r="A138" s="7" t="s">
        <v>35</v>
      </c>
    </row>
    <row r="139" spans="1:8" ht="10.5" customHeight="1" x14ac:dyDescent="0.25">
      <c r="A139" s="7" t="s">
        <v>34</v>
      </c>
    </row>
    <row r="140" spans="1:8" ht="10.5" customHeight="1" x14ac:dyDescent="0.25">
      <c r="A140" s="7" t="s">
        <v>50</v>
      </c>
    </row>
    <row r="141" spans="1:8" ht="6" customHeight="1" x14ac:dyDescent="0.25"/>
    <row r="142" spans="1:8" ht="15.75" thickBot="1" x14ac:dyDescent="0.3">
      <c r="A142" s="1" t="s">
        <v>59</v>
      </c>
      <c r="B142" s="1" t="s">
        <v>60</v>
      </c>
    </row>
    <row r="143" spans="1:8" ht="16.5" thickTop="1" thickBot="1" x14ac:dyDescent="0.3">
      <c r="A143" s="9" t="s">
        <v>7</v>
      </c>
      <c r="B143" s="9" t="s">
        <v>2</v>
      </c>
      <c r="C143" s="10" t="s">
        <v>6</v>
      </c>
      <c r="D143" s="10" t="s">
        <v>25</v>
      </c>
      <c r="E143" s="10" t="s">
        <v>3</v>
      </c>
      <c r="F143" s="10" t="s">
        <v>4</v>
      </c>
      <c r="G143" s="10" t="s">
        <v>5</v>
      </c>
      <c r="H143" s="11" t="s">
        <v>26</v>
      </c>
    </row>
    <row r="144" spans="1:8" ht="15.75" thickTop="1" x14ac:dyDescent="0.25">
      <c r="A144" t="s">
        <v>23</v>
      </c>
      <c r="B144" t="s">
        <v>62</v>
      </c>
      <c r="C144" s="4" t="s">
        <v>61</v>
      </c>
      <c r="D144" s="3">
        <v>1</v>
      </c>
      <c r="E144" s="15">
        <v>25.1</v>
      </c>
      <c r="F144" s="15">
        <v>0.2</v>
      </c>
      <c r="G144" s="15">
        <f>E144-F144</f>
        <v>24.900000000000002</v>
      </c>
      <c r="H144" s="4" t="s">
        <v>20</v>
      </c>
    </row>
    <row r="145" spans="1:8" x14ac:dyDescent="0.25">
      <c r="A145" t="s">
        <v>23</v>
      </c>
      <c r="B145" t="s">
        <v>62</v>
      </c>
      <c r="C145" s="4" t="s">
        <v>61</v>
      </c>
      <c r="D145" s="3">
        <f>D144+1</f>
        <v>2</v>
      </c>
      <c r="E145" s="15">
        <v>25</v>
      </c>
      <c r="F145" s="15">
        <v>0.2</v>
      </c>
      <c r="G145" s="15">
        <f t="shared" ref="G145" si="15">E145-F145</f>
        <v>24.8</v>
      </c>
      <c r="H145" s="4" t="s">
        <v>20</v>
      </c>
    </row>
    <row r="146" spans="1:8" x14ac:dyDescent="0.25">
      <c r="A146" t="s">
        <v>23</v>
      </c>
      <c r="B146" t="s">
        <v>62</v>
      </c>
      <c r="C146" s="4" t="s">
        <v>61</v>
      </c>
      <c r="D146" s="3">
        <f t="shared" ref="D146:D151" si="16">D145+1</f>
        <v>3</v>
      </c>
      <c r="E146" s="15">
        <v>25.2</v>
      </c>
      <c r="F146" s="15">
        <v>0.2</v>
      </c>
      <c r="G146" s="15">
        <f t="shared" ref="G146:G151" si="17">E146-F146</f>
        <v>25</v>
      </c>
      <c r="H146" s="4" t="s">
        <v>20</v>
      </c>
    </row>
    <row r="147" spans="1:8" x14ac:dyDescent="0.25">
      <c r="A147" t="s">
        <v>23</v>
      </c>
      <c r="B147" t="s">
        <v>62</v>
      </c>
      <c r="C147" s="4" t="s">
        <v>61</v>
      </c>
      <c r="D147" s="3">
        <f t="shared" si="16"/>
        <v>4</v>
      </c>
      <c r="E147" s="15">
        <v>25.1</v>
      </c>
      <c r="F147" s="15">
        <v>0.2</v>
      </c>
      <c r="G147" s="15">
        <f t="shared" si="17"/>
        <v>24.900000000000002</v>
      </c>
      <c r="H147" s="4" t="s">
        <v>20</v>
      </c>
    </row>
    <row r="148" spans="1:8" x14ac:dyDescent="0.25">
      <c r="A148" t="s">
        <v>23</v>
      </c>
      <c r="B148" t="s">
        <v>62</v>
      </c>
      <c r="C148" s="4" t="s">
        <v>61</v>
      </c>
      <c r="D148" s="3">
        <f t="shared" si="16"/>
        <v>5</v>
      </c>
      <c r="E148" s="15">
        <v>25.2</v>
      </c>
      <c r="F148" s="15">
        <v>0.2</v>
      </c>
      <c r="G148" s="15">
        <f t="shared" si="17"/>
        <v>25</v>
      </c>
      <c r="H148" s="4" t="s">
        <v>20</v>
      </c>
    </row>
    <row r="149" spans="1:8" x14ac:dyDescent="0.25">
      <c r="A149" t="s">
        <v>23</v>
      </c>
      <c r="B149" t="s">
        <v>62</v>
      </c>
      <c r="C149" s="4" t="s">
        <v>61</v>
      </c>
      <c r="D149" s="3">
        <f t="shared" si="16"/>
        <v>6</v>
      </c>
      <c r="E149" s="15">
        <v>25</v>
      </c>
      <c r="F149" s="15">
        <v>0.2</v>
      </c>
      <c r="G149" s="15">
        <f t="shared" si="17"/>
        <v>24.8</v>
      </c>
      <c r="H149" s="4" t="s">
        <v>20</v>
      </c>
    </row>
    <row r="150" spans="1:8" x14ac:dyDescent="0.25">
      <c r="A150" t="s">
        <v>23</v>
      </c>
      <c r="B150" t="s">
        <v>62</v>
      </c>
      <c r="C150" s="4" t="s">
        <v>61</v>
      </c>
      <c r="D150" s="3">
        <f t="shared" si="16"/>
        <v>7</v>
      </c>
      <c r="E150" s="15">
        <v>25.2</v>
      </c>
      <c r="F150" s="15">
        <v>0.2</v>
      </c>
      <c r="G150" s="15">
        <f t="shared" si="17"/>
        <v>25</v>
      </c>
      <c r="H150" s="4" t="s">
        <v>20</v>
      </c>
    </row>
    <row r="151" spans="1:8" x14ac:dyDescent="0.25">
      <c r="A151" t="s">
        <v>23</v>
      </c>
      <c r="B151" t="s">
        <v>62</v>
      </c>
      <c r="C151" s="4" t="s">
        <v>61</v>
      </c>
      <c r="D151" s="3">
        <f t="shared" si="16"/>
        <v>8</v>
      </c>
      <c r="E151" s="15">
        <v>25</v>
      </c>
      <c r="F151" s="15">
        <v>0.2</v>
      </c>
      <c r="G151" s="15">
        <f t="shared" si="17"/>
        <v>24.8</v>
      </c>
      <c r="H151" s="4" t="s">
        <v>20</v>
      </c>
    </row>
    <row r="152" spans="1:8" x14ac:dyDescent="0.25">
      <c r="A152" t="s">
        <v>23</v>
      </c>
      <c r="B152" t="s">
        <v>62</v>
      </c>
      <c r="C152" s="4" t="s">
        <v>61</v>
      </c>
      <c r="D152" s="3">
        <f t="shared" ref="D152:D171" si="18">D151+1</f>
        <v>9</v>
      </c>
      <c r="E152" s="15">
        <v>25.1</v>
      </c>
      <c r="F152" s="15">
        <v>0.2</v>
      </c>
      <c r="G152" s="15">
        <f t="shared" ref="G152:G166" si="19">E152-F152</f>
        <v>24.900000000000002</v>
      </c>
      <c r="H152" s="4" t="s">
        <v>20</v>
      </c>
    </row>
    <row r="153" spans="1:8" x14ac:dyDescent="0.25">
      <c r="A153" t="s">
        <v>23</v>
      </c>
      <c r="B153" t="s">
        <v>62</v>
      </c>
      <c r="C153" s="4" t="s">
        <v>61</v>
      </c>
      <c r="D153" s="3">
        <f t="shared" si="18"/>
        <v>10</v>
      </c>
      <c r="E153" s="15">
        <v>25.2</v>
      </c>
      <c r="F153" s="15">
        <v>0.2</v>
      </c>
      <c r="G153" s="15">
        <f t="shared" si="19"/>
        <v>25</v>
      </c>
      <c r="H153" s="4" t="s">
        <v>20</v>
      </c>
    </row>
    <row r="154" spans="1:8" x14ac:dyDescent="0.25">
      <c r="A154" t="s">
        <v>23</v>
      </c>
      <c r="B154" t="s">
        <v>62</v>
      </c>
      <c r="C154" s="4" t="s">
        <v>61</v>
      </c>
      <c r="D154" s="3">
        <f t="shared" si="18"/>
        <v>11</v>
      </c>
      <c r="E154" s="15">
        <v>25.1</v>
      </c>
      <c r="F154" s="15">
        <v>0.2</v>
      </c>
      <c r="G154" s="15">
        <f t="shared" si="19"/>
        <v>24.900000000000002</v>
      </c>
      <c r="H154" s="4" t="s">
        <v>20</v>
      </c>
    </row>
    <row r="155" spans="1:8" x14ac:dyDescent="0.25">
      <c r="A155" t="s">
        <v>23</v>
      </c>
      <c r="B155" t="s">
        <v>62</v>
      </c>
      <c r="C155" s="4" t="s">
        <v>61</v>
      </c>
      <c r="D155" s="3">
        <f t="shared" si="18"/>
        <v>12</v>
      </c>
      <c r="E155" s="15">
        <v>25</v>
      </c>
      <c r="F155" s="15">
        <v>0.2</v>
      </c>
      <c r="G155" s="15">
        <f t="shared" si="19"/>
        <v>24.8</v>
      </c>
      <c r="H155" s="4" t="s">
        <v>20</v>
      </c>
    </row>
    <row r="156" spans="1:8" x14ac:dyDescent="0.25">
      <c r="A156" t="s">
        <v>23</v>
      </c>
      <c r="B156" t="s">
        <v>62</v>
      </c>
      <c r="C156" s="4" t="s">
        <v>61</v>
      </c>
      <c r="D156" s="3">
        <f t="shared" si="18"/>
        <v>13</v>
      </c>
      <c r="E156" s="15">
        <v>25.2</v>
      </c>
      <c r="F156" s="15">
        <v>0.2</v>
      </c>
      <c r="G156" s="15">
        <f t="shared" si="19"/>
        <v>25</v>
      </c>
      <c r="H156" s="4" t="s">
        <v>20</v>
      </c>
    </row>
    <row r="157" spans="1:8" x14ac:dyDescent="0.25">
      <c r="A157" t="s">
        <v>23</v>
      </c>
      <c r="B157" t="s">
        <v>62</v>
      </c>
      <c r="C157" s="4" t="s">
        <v>61</v>
      </c>
      <c r="D157" s="3">
        <f t="shared" si="18"/>
        <v>14</v>
      </c>
      <c r="E157" s="15">
        <v>25</v>
      </c>
      <c r="F157" s="15">
        <v>0.2</v>
      </c>
      <c r="G157" s="15">
        <f t="shared" si="19"/>
        <v>24.8</v>
      </c>
      <c r="H157" s="4" t="s">
        <v>20</v>
      </c>
    </row>
    <row r="158" spans="1:8" x14ac:dyDescent="0.25">
      <c r="A158" t="s">
        <v>23</v>
      </c>
      <c r="B158" t="s">
        <v>62</v>
      </c>
      <c r="C158" s="4" t="s">
        <v>61</v>
      </c>
      <c r="D158" s="3">
        <f t="shared" si="18"/>
        <v>15</v>
      </c>
      <c r="E158" s="15">
        <v>25.1</v>
      </c>
      <c r="F158" s="15">
        <v>0.2</v>
      </c>
      <c r="G158" s="15">
        <f t="shared" si="19"/>
        <v>24.900000000000002</v>
      </c>
      <c r="H158" s="4" t="s">
        <v>20</v>
      </c>
    </row>
    <row r="159" spans="1:8" x14ac:dyDescent="0.25">
      <c r="A159" t="s">
        <v>23</v>
      </c>
      <c r="B159" t="s">
        <v>62</v>
      </c>
      <c r="C159" s="4" t="s">
        <v>61</v>
      </c>
      <c r="D159" s="3">
        <f t="shared" si="18"/>
        <v>16</v>
      </c>
      <c r="E159" s="15">
        <v>24.9</v>
      </c>
      <c r="F159" s="15">
        <v>0.2</v>
      </c>
      <c r="G159" s="15">
        <f t="shared" si="19"/>
        <v>24.7</v>
      </c>
      <c r="H159" s="4" t="s">
        <v>20</v>
      </c>
    </row>
    <row r="160" spans="1:8" x14ac:dyDescent="0.25">
      <c r="A160" t="s">
        <v>23</v>
      </c>
      <c r="B160" t="s">
        <v>62</v>
      </c>
      <c r="C160" s="4" t="s">
        <v>61</v>
      </c>
      <c r="D160" s="3">
        <f t="shared" si="18"/>
        <v>17</v>
      </c>
      <c r="E160" s="15">
        <v>25</v>
      </c>
      <c r="F160" s="15">
        <v>0.2</v>
      </c>
      <c r="G160" s="15">
        <f t="shared" si="19"/>
        <v>24.8</v>
      </c>
      <c r="H160" s="4" t="s">
        <v>20</v>
      </c>
    </row>
    <row r="161" spans="1:8" x14ac:dyDescent="0.25">
      <c r="A161" t="s">
        <v>23</v>
      </c>
      <c r="B161" t="s">
        <v>62</v>
      </c>
      <c r="C161" s="4" t="s">
        <v>61</v>
      </c>
      <c r="D161" s="3">
        <f t="shared" si="18"/>
        <v>18</v>
      </c>
      <c r="E161" s="15">
        <v>25.1</v>
      </c>
      <c r="F161" s="15">
        <v>0.2</v>
      </c>
      <c r="G161" s="15">
        <f t="shared" si="19"/>
        <v>24.900000000000002</v>
      </c>
      <c r="H161" s="4" t="s">
        <v>20</v>
      </c>
    </row>
    <row r="162" spans="1:8" x14ac:dyDescent="0.25">
      <c r="A162" t="s">
        <v>23</v>
      </c>
      <c r="B162" t="s">
        <v>62</v>
      </c>
      <c r="C162" s="4" t="s">
        <v>61</v>
      </c>
      <c r="D162" s="3">
        <f t="shared" si="18"/>
        <v>19</v>
      </c>
      <c r="E162" s="15">
        <v>25.2</v>
      </c>
      <c r="F162" s="15">
        <v>0.2</v>
      </c>
      <c r="G162" s="15">
        <f t="shared" si="19"/>
        <v>25</v>
      </c>
      <c r="H162" s="4" t="s">
        <v>20</v>
      </c>
    </row>
    <row r="163" spans="1:8" x14ac:dyDescent="0.25">
      <c r="A163" t="s">
        <v>23</v>
      </c>
      <c r="B163" t="s">
        <v>62</v>
      </c>
      <c r="C163" s="4" t="s">
        <v>61</v>
      </c>
      <c r="D163" s="3">
        <f t="shared" si="18"/>
        <v>20</v>
      </c>
      <c r="E163" s="15">
        <v>24.8</v>
      </c>
      <c r="F163" s="15">
        <v>0.2</v>
      </c>
      <c r="G163" s="15">
        <f t="shared" si="19"/>
        <v>24.6</v>
      </c>
      <c r="H163" s="4" t="s">
        <v>20</v>
      </c>
    </row>
    <row r="164" spans="1:8" x14ac:dyDescent="0.25">
      <c r="A164" t="s">
        <v>23</v>
      </c>
      <c r="B164" t="s">
        <v>62</v>
      </c>
      <c r="C164" s="4" t="s">
        <v>61</v>
      </c>
      <c r="D164" s="3">
        <f t="shared" si="18"/>
        <v>21</v>
      </c>
      <c r="E164" s="15">
        <v>25.1</v>
      </c>
      <c r="F164" s="15">
        <v>0.2</v>
      </c>
      <c r="G164" s="15">
        <f t="shared" si="19"/>
        <v>24.900000000000002</v>
      </c>
      <c r="H164" s="4" t="s">
        <v>20</v>
      </c>
    </row>
    <row r="165" spans="1:8" x14ac:dyDescent="0.25">
      <c r="A165" t="s">
        <v>23</v>
      </c>
      <c r="B165" t="s">
        <v>62</v>
      </c>
      <c r="C165" s="4" t="s">
        <v>61</v>
      </c>
      <c r="D165" s="3">
        <f t="shared" si="18"/>
        <v>22</v>
      </c>
      <c r="E165" s="15">
        <v>25</v>
      </c>
      <c r="F165" s="15">
        <v>0.2</v>
      </c>
      <c r="G165" s="15">
        <f t="shared" si="19"/>
        <v>24.8</v>
      </c>
      <c r="H165" s="4" t="s">
        <v>20</v>
      </c>
    </row>
    <row r="166" spans="1:8" x14ac:dyDescent="0.25">
      <c r="A166" t="s">
        <v>23</v>
      </c>
      <c r="B166" t="s">
        <v>62</v>
      </c>
      <c r="C166" s="4" t="s">
        <v>61</v>
      </c>
      <c r="D166" s="3">
        <f t="shared" si="18"/>
        <v>23</v>
      </c>
      <c r="E166" s="15">
        <v>25.2</v>
      </c>
      <c r="F166" s="15">
        <v>0.2</v>
      </c>
      <c r="G166" s="15">
        <f t="shared" si="19"/>
        <v>25</v>
      </c>
      <c r="H166" s="4" t="s">
        <v>20</v>
      </c>
    </row>
    <row r="167" spans="1:8" x14ac:dyDescent="0.25">
      <c r="A167" t="s">
        <v>23</v>
      </c>
      <c r="B167" t="s">
        <v>62</v>
      </c>
      <c r="C167" s="4" t="s">
        <v>61</v>
      </c>
      <c r="D167" s="3">
        <f t="shared" si="18"/>
        <v>24</v>
      </c>
      <c r="E167" s="15">
        <v>25.1</v>
      </c>
      <c r="F167" s="15">
        <v>0.2</v>
      </c>
      <c r="G167" s="15">
        <f t="shared" ref="G167:G171" si="20">E167-F167</f>
        <v>24.900000000000002</v>
      </c>
      <c r="H167" s="4" t="s">
        <v>20</v>
      </c>
    </row>
    <row r="168" spans="1:8" x14ac:dyDescent="0.25">
      <c r="A168" t="s">
        <v>23</v>
      </c>
      <c r="B168" t="s">
        <v>62</v>
      </c>
      <c r="C168" s="4" t="s">
        <v>61</v>
      </c>
      <c r="D168" s="3">
        <f t="shared" si="18"/>
        <v>25</v>
      </c>
      <c r="E168" s="15">
        <v>24.9</v>
      </c>
      <c r="F168" s="15">
        <v>0.2</v>
      </c>
      <c r="G168" s="15">
        <f t="shared" si="20"/>
        <v>24.7</v>
      </c>
      <c r="H168" s="4" t="s">
        <v>20</v>
      </c>
    </row>
    <row r="169" spans="1:8" x14ac:dyDescent="0.25">
      <c r="A169" t="s">
        <v>23</v>
      </c>
      <c r="B169" t="s">
        <v>62</v>
      </c>
      <c r="C169" s="4" t="s">
        <v>61</v>
      </c>
      <c r="D169" s="3">
        <f t="shared" si="18"/>
        <v>26</v>
      </c>
      <c r="E169" s="15">
        <v>24.7</v>
      </c>
      <c r="F169" s="15">
        <v>0.2</v>
      </c>
      <c r="G169" s="15">
        <f t="shared" si="20"/>
        <v>24.5</v>
      </c>
      <c r="H169" s="4" t="s">
        <v>20</v>
      </c>
    </row>
    <row r="170" spans="1:8" x14ac:dyDescent="0.25">
      <c r="A170" t="s">
        <v>23</v>
      </c>
      <c r="B170" t="s">
        <v>62</v>
      </c>
      <c r="C170" s="4" t="s">
        <v>61</v>
      </c>
      <c r="D170" s="3">
        <f t="shared" si="18"/>
        <v>27</v>
      </c>
      <c r="E170" s="15">
        <v>25.1</v>
      </c>
      <c r="F170" s="15">
        <v>0.2</v>
      </c>
      <c r="G170" s="15">
        <f t="shared" si="20"/>
        <v>24.900000000000002</v>
      </c>
      <c r="H170" s="4" t="s">
        <v>20</v>
      </c>
    </row>
    <row r="171" spans="1:8" ht="15.75" thickBot="1" x14ac:dyDescent="0.3">
      <c r="A171" t="s">
        <v>23</v>
      </c>
      <c r="B171" t="s">
        <v>62</v>
      </c>
      <c r="C171" s="4" t="s">
        <v>61</v>
      </c>
      <c r="D171" s="3">
        <f t="shared" si="18"/>
        <v>28</v>
      </c>
      <c r="E171" s="15">
        <v>25</v>
      </c>
      <c r="F171" s="15">
        <v>0.2</v>
      </c>
      <c r="G171" s="15">
        <f t="shared" si="20"/>
        <v>24.8</v>
      </c>
      <c r="H171" s="4" t="s">
        <v>20</v>
      </c>
    </row>
    <row r="172" spans="1:8" ht="16.5" thickTop="1" thickBot="1" x14ac:dyDescent="0.3">
      <c r="A172" s="75" t="s">
        <v>27</v>
      </c>
      <c r="B172" s="75"/>
      <c r="C172" s="75"/>
      <c r="D172" s="12">
        <f>D171</f>
        <v>28</v>
      </c>
      <c r="E172" s="14">
        <f>SUM(E144:E171)</f>
        <v>701.60000000000014</v>
      </c>
      <c r="F172" s="14">
        <f>SUM(F144:F171)</f>
        <v>5.6000000000000023</v>
      </c>
      <c r="G172" s="14">
        <f>SUM(G144:G171)</f>
        <v>695.99999999999989</v>
      </c>
      <c r="H172" s="13"/>
    </row>
    <row r="173" spans="1:8" ht="3.75" customHeight="1" thickTop="1" x14ac:dyDescent="0.25"/>
    <row r="174" spans="1:8" ht="15.75" thickBot="1" x14ac:dyDescent="0.3">
      <c r="A174" s="1" t="s">
        <v>29</v>
      </c>
    </row>
    <row r="175" spans="1:8" ht="31.5" thickTop="1" thickBot="1" x14ac:dyDescent="0.3">
      <c r="A175" s="9" t="s">
        <v>7</v>
      </c>
      <c r="B175" s="9" t="s">
        <v>2</v>
      </c>
      <c r="C175" s="10" t="s">
        <v>6</v>
      </c>
      <c r="D175" s="11" t="s">
        <v>30</v>
      </c>
      <c r="E175" s="11" t="s">
        <v>31</v>
      </c>
      <c r="F175" s="11" t="s">
        <v>32</v>
      </c>
      <c r="G175" s="11" t="s">
        <v>33</v>
      </c>
      <c r="H175" s="11" t="s">
        <v>37</v>
      </c>
    </row>
    <row r="176" spans="1:8" ht="16.5" thickTop="1" thickBot="1" x14ac:dyDescent="0.3">
      <c r="A176" t="s">
        <v>23</v>
      </c>
      <c r="B176" t="s">
        <v>62</v>
      </c>
      <c r="C176" s="3" t="s">
        <v>61</v>
      </c>
      <c r="D176" s="15">
        <v>382.5</v>
      </c>
      <c r="E176" s="15">
        <v>295.8</v>
      </c>
      <c r="F176" s="15">
        <v>15.8</v>
      </c>
      <c r="G176" s="18">
        <f>G172-(D176+E176+F176)</f>
        <v>1.8999999999999773</v>
      </c>
      <c r="H176" s="15">
        <f>SUM(D176:G176)</f>
        <v>695.99999999999989</v>
      </c>
    </row>
    <row r="177" spans="1:8" ht="16.5" thickTop="1" thickBot="1" x14ac:dyDescent="0.3">
      <c r="A177" s="77" t="s">
        <v>52</v>
      </c>
      <c r="B177" s="77"/>
      <c r="C177" s="77"/>
      <c r="D177" s="20">
        <f>D176/$G$172</f>
        <v>0.54956896551724144</v>
      </c>
      <c r="E177" s="20">
        <f>E176/$G$172</f>
        <v>0.4250000000000001</v>
      </c>
      <c r="F177" s="20">
        <f t="shared" ref="F177:G177" si="21">F176/$G$172</f>
        <v>2.2701149425287361E-2</v>
      </c>
      <c r="G177" s="20">
        <f t="shared" si="21"/>
        <v>2.7298850574712322E-3</v>
      </c>
      <c r="H177" s="17">
        <f>SUM(D177:G177)</f>
        <v>1.0000000000000002</v>
      </c>
    </row>
    <row r="178" spans="1:8" ht="15.75" thickTop="1" x14ac:dyDescent="0.25">
      <c r="A178" s="19" t="s">
        <v>16</v>
      </c>
    </row>
    <row r="179" spans="1:8" ht="12.75" customHeight="1" x14ac:dyDescent="0.25">
      <c r="A179" s="7" t="s">
        <v>36</v>
      </c>
    </row>
    <row r="180" spans="1:8" ht="12.75" customHeight="1" x14ac:dyDescent="0.25">
      <c r="A180" s="7" t="s">
        <v>35</v>
      </c>
    </row>
    <row r="181" spans="1:8" ht="12.75" customHeight="1" x14ac:dyDescent="0.25">
      <c r="A181" s="7" t="s">
        <v>34</v>
      </c>
    </row>
    <row r="182" spans="1:8" ht="12.75" customHeight="1" x14ac:dyDescent="0.25">
      <c r="A182" s="7" t="s">
        <v>50</v>
      </c>
    </row>
  </sheetData>
  <mergeCells count="14">
    <mergeCell ref="A172:C172"/>
    <mergeCell ref="A177:C177"/>
    <mergeCell ref="A130:C130"/>
    <mergeCell ref="A135:C135"/>
    <mergeCell ref="A57:C57"/>
    <mergeCell ref="A62:C62"/>
    <mergeCell ref="A108:C108"/>
    <mergeCell ref="A113:C113"/>
    <mergeCell ref="A29:C29"/>
    <mergeCell ref="A34:C34"/>
    <mergeCell ref="A1:H1"/>
    <mergeCell ref="A88:C88"/>
    <mergeCell ref="A93:C93"/>
    <mergeCell ref="A18:H18"/>
  </mergeCells>
  <pageMargins left="0" right="0" top="0" bottom="0" header="0" footer="0"/>
  <pageSetup paperSize="346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C859-D547-4BF2-A75E-806BA2041406}">
  <sheetPr>
    <tabColor rgb="FF00B050"/>
  </sheetPr>
  <dimension ref="A1:M149"/>
  <sheetViews>
    <sheetView showGridLines="0" topLeftCell="A127" workbookViewId="0">
      <selection activeCell="A6" sqref="A6:XFD10"/>
    </sheetView>
  </sheetViews>
  <sheetFormatPr defaultRowHeight="15" x14ac:dyDescent="0.25"/>
  <cols>
    <col min="1" max="1" width="17.42578125" customWidth="1"/>
    <col min="2" max="2" width="15" customWidth="1"/>
    <col min="3" max="3" width="10.7109375" bestFit="1" customWidth="1"/>
    <col min="4" max="4" width="10.28515625" style="3" customWidth="1"/>
    <col min="5" max="5" width="10.42578125" customWidth="1"/>
    <col min="6" max="6" width="10.5703125" bestFit="1" customWidth="1"/>
    <col min="7" max="7" width="14.85546875" customWidth="1"/>
    <col min="8" max="8" width="13.42578125" customWidth="1"/>
  </cols>
  <sheetData>
    <row r="1" spans="1:11" ht="21" x14ac:dyDescent="0.35">
      <c r="A1" s="71" t="s">
        <v>51</v>
      </c>
      <c r="B1" s="71"/>
      <c r="C1" s="71"/>
      <c r="D1" s="71"/>
      <c r="E1" s="71"/>
      <c r="F1" s="71"/>
      <c r="G1" s="71"/>
      <c r="H1" s="71"/>
    </row>
    <row r="3" spans="1:11" x14ac:dyDescent="0.25">
      <c r="A3" s="8" t="s">
        <v>63</v>
      </c>
    </row>
    <row r="4" spans="1:11" x14ac:dyDescent="0.25">
      <c r="A4" s="1" t="s">
        <v>0</v>
      </c>
      <c r="B4" t="s">
        <v>49</v>
      </c>
      <c r="G4" s="22" t="s">
        <v>58</v>
      </c>
      <c r="H4" s="21">
        <v>46186</v>
      </c>
    </row>
    <row r="5" spans="1:11" ht="4.5" customHeight="1" thickBot="1" x14ac:dyDescent="0.3"/>
    <row r="6" spans="1:11" ht="31.5" customHeight="1" thickTop="1" thickBot="1" x14ac:dyDescent="0.3">
      <c r="A6" s="9" t="s">
        <v>7</v>
      </c>
      <c r="B6" s="9" t="s">
        <v>2</v>
      </c>
      <c r="C6" s="10" t="s">
        <v>6</v>
      </c>
      <c r="D6" s="10" t="s">
        <v>3</v>
      </c>
      <c r="E6" s="10" t="s">
        <v>4</v>
      </c>
      <c r="F6" s="10" t="s">
        <v>5</v>
      </c>
      <c r="G6" s="10" t="s">
        <v>15</v>
      </c>
      <c r="H6" s="11" t="s">
        <v>19</v>
      </c>
      <c r="I6" s="2"/>
      <c r="J6" s="2"/>
      <c r="K6" s="2"/>
    </row>
    <row r="7" spans="1:11" ht="15.75" thickTop="1" x14ac:dyDescent="0.25">
      <c r="A7" s="5" t="s">
        <v>1</v>
      </c>
      <c r="B7" s="5" t="s">
        <v>10</v>
      </c>
      <c r="C7" s="4" t="s">
        <v>22</v>
      </c>
      <c r="D7" s="15">
        <v>760.2</v>
      </c>
      <c r="E7" s="15">
        <v>23.900000000000002</v>
      </c>
      <c r="F7" s="15">
        <f>D7-E7</f>
        <v>736.30000000000007</v>
      </c>
      <c r="G7" s="6">
        <v>46181</v>
      </c>
      <c r="H7" s="6" t="s">
        <v>20</v>
      </c>
    </row>
    <row r="8" spans="1:11" x14ac:dyDescent="0.25">
      <c r="A8" s="5" t="s">
        <v>1</v>
      </c>
      <c r="B8" s="5" t="s">
        <v>9</v>
      </c>
      <c r="C8" s="4" t="s">
        <v>22</v>
      </c>
      <c r="D8" s="15">
        <v>1116.9000000000001</v>
      </c>
      <c r="E8" s="15">
        <v>39.300000000000004</v>
      </c>
      <c r="F8" s="15">
        <f t="shared" ref="F8:F12" si="0">D8-E8</f>
        <v>1077.6000000000001</v>
      </c>
      <c r="G8" s="6">
        <v>46181</v>
      </c>
      <c r="H8" s="6" t="s">
        <v>20</v>
      </c>
    </row>
    <row r="9" spans="1:11" x14ac:dyDescent="0.25">
      <c r="A9" s="5" t="s">
        <v>1</v>
      </c>
      <c r="B9" s="5" t="s">
        <v>13</v>
      </c>
      <c r="C9" s="4" t="s">
        <v>47</v>
      </c>
      <c r="D9" s="15">
        <v>796.4</v>
      </c>
      <c r="E9" s="15">
        <v>93</v>
      </c>
      <c r="F9" s="15">
        <f t="shared" si="0"/>
        <v>703.4</v>
      </c>
      <c r="G9" s="6">
        <v>46181</v>
      </c>
      <c r="H9" s="6" t="s">
        <v>20</v>
      </c>
    </row>
    <row r="10" spans="1:11" x14ac:dyDescent="0.25">
      <c r="A10" s="5" t="s">
        <v>1</v>
      </c>
      <c r="B10" s="5" t="s">
        <v>64</v>
      </c>
      <c r="C10" s="4" t="s">
        <v>22</v>
      </c>
      <c r="D10" s="15">
        <v>1231.3</v>
      </c>
      <c r="E10" s="15">
        <v>48.70000000000001</v>
      </c>
      <c r="F10" s="15">
        <f t="shared" si="0"/>
        <v>1182.5999999999999</v>
      </c>
      <c r="G10" s="6">
        <v>46181</v>
      </c>
      <c r="H10" s="6" t="s">
        <v>20</v>
      </c>
    </row>
    <row r="11" spans="1:11" hidden="1" x14ac:dyDescent="0.25">
      <c r="A11" s="5" t="s">
        <v>1</v>
      </c>
      <c r="B11" s="5" t="s">
        <v>12</v>
      </c>
      <c r="C11" s="4" t="s">
        <v>14</v>
      </c>
      <c r="D11" s="15">
        <v>784.4</v>
      </c>
      <c r="E11" s="15">
        <v>122.4</v>
      </c>
      <c r="F11" s="15">
        <f t="shared" si="0"/>
        <v>662</v>
      </c>
      <c r="G11" s="6">
        <v>46179</v>
      </c>
      <c r="H11" s="6" t="s">
        <v>20</v>
      </c>
    </row>
    <row r="12" spans="1:11" hidden="1" x14ac:dyDescent="0.25">
      <c r="A12" s="5" t="s">
        <v>1</v>
      </c>
      <c r="B12" s="5" t="s">
        <v>13</v>
      </c>
      <c r="C12" s="4" t="s">
        <v>61</v>
      </c>
      <c r="D12" s="15">
        <v>695.8</v>
      </c>
      <c r="E12" s="15">
        <v>5.6</v>
      </c>
      <c r="F12" s="15">
        <f t="shared" si="0"/>
        <v>690.19999999999993</v>
      </c>
      <c r="G12" s="6">
        <v>46179</v>
      </c>
      <c r="H12" s="6" t="s">
        <v>20</v>
      </c>
    </row>
    <row r="13" spans="1:11" ht="4.5" customHeight="1" x14ac:dyDescent="0.25"/>
    <row r="14" spans="1:11" x14ac:dyDescent="0.25">
      <c r="A14" s="19" t="s">
        <v>16</v>
      </c>
      <c r="F14" s="27"/>
    </row>
    <row r="15" spans="1:11" ht="10.5" customHeight="1" x14ac:dyDescent="0.25">
      <c r="A15" s="7" t="s">
        <v>18</v>
      </c>
    </row>
    <row r="16" spans="1:11" ht="12.75" customHeight="1" x14ac:dyDescent="0.25">
      <c r="A16" s="7" t="s">
        <v>17</v>
      </c>
    </row>
    <row r="17" spans="1:8" ht="5.25" customHeight="1" x14ac:dyDescent="0.25"/>
    <row r="18" spans="1:8" x14ac:dyDescent="0.25">
      <c r="A18" s="72" t="s">
        <v>28</v>
      </c>
      <c r="B18" s="72"/>
      <c r="C18" s="72"/>
      <c r="D18" s="72"/>
      <c r="E18" s="72"/>
      <c r="F18" s="72"/>
      <c r="G18" s="72"/>
      <c r="H18" s="72"/>
    </row>
    <row r="19" spans="1:8" ht="23.25" customHeight="1" thickBot="1" x14ac:dyDescent="0.3">
      <c r="A19" s="1" t="s">
        <v>53</v>
      </c>
      <c r="B19" s="1" t="s">
        <v>43</v>
      </c>
    </row>
    <row r="20" spans="1:8" ht="16.5" thickTop="1" thickBot="1" x14ac:dyDescent="0.3">
      <c r="A20" s="9" t="s">
        <v>7</v>
      </c>
      <c r="B20" s="9" t="s">
        <v>2</v>
      </c>
      <c r="C20" s="10" t="s">
        <v>6</v>
      </c>
      <c r="D20" s="10" t="s">
        <v>25</v>
      </c>
      <c r="E20" s="10" t="s">
        <v>3</v>
      </c>
      <c r="F20" s="10" t="s">
        <v>4</v>
      </c>
      <c r="G20" s="10" t="s">
        <v>5</v>
      </c>
      <c r="H20" s="11" t="s">
        <v>26</v>
      </c>
    </row>
    <row r="21" spans="1:8" ht="15.75" thickTop="1" x14ac:dyDescent="0.25">
      <c r="A21" t="s">
        <v>23</v>
      </c>
      <c r="B21" t="s">
        <v>44</v>
      </c>
      <c r="C21" s="4" t="s">
        <v>22</v>
      </c>
      <c r="D21" s="3">
        <v>1</v>
      </c>
      <c r="E21" s="15">
        <v>46.1</v>
      </c>
      <c r="F21" s="15">
        <v>1.3</v>
      </c>
      <c r="G21" s="15">
        <f>E21-F21</f>
        <v>44.800000000000004</v>
      </c>
      <c r="H21" s="4" t="s">
        <v>20</v>
      </c>
    </row>
    <row r="22" spans="1:8" x14ac:dyDescent="0.25">
      <c r="A22" t="s">
        <v>23</v>
      </c>
      <c r="B22" t="s">
        <v>44</v>
      </c>
      <c r="C22" s="4" t="s">
        <v>22</v>
      </c>
      <c r="D22" s="3">
        <f>D21+1</f>
        <v>2</v>
      </c>
      <c r="E22" s="15">
        <v>43.8</v>
      </c>
      <c r="F22" s="15">
        <v>1.2</v>
      </c>
      <c r="G22" s="15">
        <f t="shared" ref="G22:G23" si="1">E22-F22</f>
        <v>42.599999999999994</v>
      </c>
      <c r="H22" s="4" t="s">
        <v>20</v>
      </c>
    </row>
    <row r="23" spans="1:8" x14ac:dyDescent="0.25">
      <c r="A23" t="s">
        <v>23</v>
      </c>
      <c r="B23" t="s">
        <v>44</v>
      </c>
      <c r="C23" s="4" t="s">
        <v>22</v>
      </c>
      <c r="D23" s="3">
        <f t="shared" ref="D23:D37" si="2">D22+1</f>
        <v>3</v>
      </c>
      <c r="E23" s="15">
        <v>49.5</v>
      </c>
      <c r="F23" s="15">
        <v>1.3</v>
      </c>
      <c r="G23" s="15">
        <f t="shared" si="1"/>
        <v>48.2</v>
      </c>
      <c r="H23" s="4" t="s">
        <v>20</v>
      </c>
    </row>
    <row r="24" spans="1:8" x14ac:dyDescent="0.25">
      <c r="A24" t="s">
        <v>23</v>
      </c>
      <c r="B24" t="s">
        <v>44</v>
      </c>
      <c r="C24" s="4" t="s">
        <v>22</v>
      </c>
      <c r="D24" s="3">
        <f t="shared" si="2"/>
        <v>4</v>
      </c>
      <c r="E24" s="15">
        <v>46</v>
      </c>
      <c r="F24" s="15">
        <v>1.2</v>
      </c>
      <c r="G24" s="15">
        <f t="shared" ref="G24:G25" si="3">E24-F24</f>
        <v>44.8</v>
      </c>
      <c r="H24" s="4" t="s">
        <v>20</v>
      </c>
    </row>
    <row r="25" spans="1:8" x14ac:dyDescent="0.25">
      <c r="A25" t="s">
        <v>23</v>
      </c>
      <c r="B25" t="s">
        <v>44</v>
      </c>
      <c r="C25" s="4" t="s">
        <v>22</v>
      </c>
      <c r="D25" s="3">
        <f t="shared" si="2"/>
        <v>5</v>
      </c>
      <c r="E25" s="15">
        <v>47.7</v>
      </c>
      <c r="F25" s="15">
        <v>1.5</v>
      </c>
      <c r="G25" s="15">
        <f t="shared" si="3"/>
        <v>46.2</v>
      </c>
      <c r="H25" s="4" t="s">
        <v>20</v>
      </c>
    </row>
    <row r="26" spans="1:8" x14ac:dyDescent="0.25">
      <c r="A26" t="s">
        <v>23</v>
      </c>
      <c r="B26" t="s">
        <v>44</v>
      </c>
      <c r="C26" s="4" t="s">
        <v>22</v>
      </c>
      <c r="D26" s="3">
        <f t="shared" si="2"/>
        <v>6</v>
      </c>
      <c r="E26" s="15">
        <v>42.5</v>
      </c>
      <c r="F26" s="15">
        <v>1.5</v>
      </c>
      <c r="G26" s="15">
        <f t="shared" ref="G26:G37" si="4">E26-F26</f>
        <v>41</v>
      </c>
      <c r="H26" s="4" t="s">
        <v>20</v>
      </c>
    </row>
    <row r="27" spans="1:8" x14ac:dyDescent="0.25">
      <c r="A27" t="s">
        <v>23</v>
      </c>
      <c r="B27" t="s">
        <v>44</v>
      </c>
      <c r="C27" s="4" t="s">
        <v>22</v>
      </c>
      <c r="D27" s="3">
        <f t="shared" si="2"/>
        <v>7</v>
      </c>
      <c r="E27" s="15">
        <v>44.3</v>
      </c>
      <c r="F27" s="15">
        <v>1.6</v>
      </c>
      <c r="G27" s="15">
        <f t="shared" si="4"/>
        <v>42.699999999999996</v>
      </c>
      <c r="H27" s="4" t="s">
        <v>20</v>
      </c>
    </row>
    <row r="28" spans="1:8" x14ac:dyDescent="0.25">
      <c r="A28" t="s">
        <v>23</v>
      </c>
      <c r="B28" t="s">
        <v>44</v>
      </c>
      <c r="C28" s="4" t="s">
        <v>22</v>
      </c>
      <c r="D28" s="3">
        <f t="shared" si="2"/>
        <v>8</v>
      </c>
      <c r="E28" s="15">
        <v>39.799999999999997</v>
      </c>
      <c r="F28" s="15">
        <v>1.4</v>
      </c>
      <c r="G28" s="15">
        <f t="shared" si="4"/>
        <v>38.4</v>
      </c>
      <c r="H28" s="4" t="s">
        <v>20</v>
      </c>
    </row>
    <row r="29" spans="1:8" x14ac:dyDescent="0.25">
      <c r="A29" t="s">
        <v>23</v>
      </c>
      <c r="B29" t="s">
        <v>44</v>
      </c>
      <c r="C29" s="4" t="s">
        <v>22</v>
      </c>
      <c r="D29" s="3">
        <f t="shared" si="2"/>
        <v>9</v>
      </c>
      <c r="E29" s="15">
        <v>45.8</v>
      </c>
      <c r="F29" s="15">
        <v>1.5</v>
      </c>
      <c r="G29" s="15">
        <f t="shared" si="4"/>
        <v>44.3</v>
      </c>
      <c r="H29" s="4" t="s">
        <v>20</v>
      </c>
    </row>
    <row r="30" spans="1:8" x14ac:dyDescent="0.25">
      <c r="A30" t="s">
        <v>23</v>
      </c>
      <c r="B30" t="s">
        <v>44</v>
      </c>
      <c r="C30" s="4" t="s">
        <v>22</v>
      </c>
      <c r="D30" s="3">
        <f t="shared" si="2"/>
        <v>10</v>
      </c>
      <c r="E30" s="15">
        <v>46</v>
      </c>
      <c r="F30" s="15">
        <v>1.9</v>
      </c>
      <c r="G30" s="15">
        <f t="shared" si="4"/>
        <v>44.1</v>
      </c>
      <c r="H30" s="4" t="s">
        <v>20</v>
      </c>
    </row>
    <row r="31" spans="1:8" x14ac:dyDescent="0.25">
      <c r="A31" t="s">
        <v>23</v>
      </c>
      <c r="B31" t="s">
        <v>44</v>
      </c>
      <c r="C31" s="4" t="s">
        <v>22</v>
      </c>
      <c r="D31" s="3">
        <f t="shared" si="2"/>
        <v>11</v>
      </c>
      <c r="E31" s="15">
        <v>44.4</v>
      </c>
      <c r="F31" s="15">
        <v>1.7</v>
      </c>
      <c r="G31" s="15">
        <f t="shared" si="4"/>
        <v>42.699999999999996</v>
      </c>
      <c r="H31" s="4" t="s">
        <v>20</v>
      </c>
    </row>
    <row r="32" spans="1:8" x14ac:dyDescent="0.25">
      <c r="A32" t="s">
        <v>23</v>
      </c>
      <c r="B32" t="s">
        <v>44</v>
      </c>
      <c r="C32" s="4" t="s">
        <v>22</v>
      </c>
      <c r="D32" s="3">
        <f t="shared" si="2"/>
        <v>12</v>
      </c>
      <c r="E32" s="15">
        <v>43.5</v>
      </c>
      <c r="F32" s="15">
        <v>1.5</v>
      </c>
      <c r="G32" s="15">
        <f t="shared" si="4"/>
        <v>42</v>
      </c>
      <c r="H32" s="4" t="s">
        <v>20</v>
      </c>
    </row>
    <row r="33" spans="1:8" x14ac:dyDescent="0.25">
      <c r="A33" t="s">
        <v>23</v>
      </c>
      <c r="B33" t="s">
        <v>44</v>
      </c>
      <c r="C33" s="4" t="s">
        <v>22</v>
      </c>
      <c r="D33" s="3">
        <f t="shared" si="2"/>
        <v>13</v>
      </c>
      <c r="E33" s="15">
        <v>48.7</v>
      </c>
      <c r="F33" s="15">
        <v>1.3</v>
      </c>
      <c r="G33" s="15">
        <f t="shared" si="4"/>
        <v>47.400000000000006</v>
      </c>
      <c r="H33" s="4" t="s">
        <v>20</v>
      </c>
    </row>
    <row r="34" spans="1:8" x14ac:dyDescent="0.25">
      <c r="A34" t="s">
        <v>23</v>
      </c>
      <c r="B34" t="s">
        <v>44</v>
      </c>
      <c r="C34" s="4" t="s">
        <v>22</v>
      </c>
      <c r="D34" s="3">
        <f t="shared" si="2"/>
        <v>14</v>
      </c>
      <c r="E34" s="15">
        <v>45.3</v>
      </c>
      <c r="F34" s="15">
        <v>1.5</v>
      </c>
      <c r="G34" s="15">
        <f t="shared" si="4"/>
        <v>43.8</v>
      </c>
      <c r="H34" s="4" t="s">
        <v>20</v>
      </c>
    </row>
    <row r="35" spans="1:8" x14ac:dyDescent="0.25">
      <c r="A35" t="s">
        <v>23</v>
      </c>
      <c r="B35" t="s">
        <v>44</v>
      </c>
      <c r="C35" s="4" t="s">
        <v>22</v>
      </c>
      <c r="D35" s="3">
        <f t="shared" si="2"/>
        <v>15</v>
      </c>
      <c r="E35" s="15">
        <v>44.7</v>
      </c>
      <c r="F35" s="15">
        <v>1.2</v>
      </c>
      <c r="G35" s="15">
        <f t="shared" si="4"/>
        <v>43.5</v>
      </c>
      <c r="H35" s="4" t="s">
        <v>20</v>
      </c>
    </row>
    <row r="36" spans="1:8" x14ac:dyDescent="0.25">
      <c r="A36" t="s">
        <v>23</v>
      </c>
      <c r="B36" t="s">
        <v>44</v>
      </c>
      <c r="C36" s="4" t="s">
        <v>22</v>
      </c>
      <c r="D36" s="3">
        <f t="shared" si="2"/>
        <v>16</v>
      </c>
      <c r="E36" s="15">
        <v>42</v>
      </c>
      <c r="F36" s="15">
        <v>1.1000000000000001</v>
      </c>
      <c r="G36" s="15">
        <f t="shared" si="4"/>
        <v>40.9</v>
      </c>
      <c r="H36" s="4" t="s">
        <v>20</v>
      </c>
    </row>
    <row r="37" spans="1:8" ht="15.75" thickBot="1" x14ac:dyDescent="0.3">
      <c r="A37" t="s">
        <v>23</v>
      </c>
      <c r="B37" t="s">
        <v>44</v>
      </c>
      <c r="C37" s="4" t="s">
        <v>22</v>
      </c>
      <c r="D37" s="3">
        <f t="shared" si="2"/>
        <v>17</v>
      </c>
      <c r="E37" s="15">
        <v>45.3</v>
      </c>
      <c r="F37" s="15">
        <v>1.2</v>
      </c>
      <c r="G37" s="15">
        <f t="shared" si="4"/>
        <v>44.099999999999994</v>
      </c>
      <c r="H37" s="4" t="s">
        <v>20</v>
      </c>
    </row>
    <row r="38" spans="1:8" ht="16.5" thickTop="1" thickBot="1" x14ac:dyDescent="0.3">
      <c r="A38" s="75" t="s">
        <v>27</v>
      </c>
      <c r="B38" s="75"/>
      <c r="C38" s="75"/>
      <c r="D38" s="12">
        <f>D37</f>
        <v>17</v>
      </c>
      <c r="E38" s="14">
        <f>SUM(E21:E37)</f>
        <v>765.40000000000009</v>
      </c>
      <c r="F38" s="14">
        <f>SUM(F21:F37)</f>
        <v>23.900000000000002</v>
      </c>
      <c r="G38" s="14">
        <f>SUM(G21:G37)</f>
        <v>741.49999999999989</v>
      </c>
      <c r="H38" s="13"/>
    </row>
    <row r="39" spans="1:8" ht="6.75" customHeight="1" thickTop="1" x14ac:dyDescent="0.25"/>
    <row r="40" spans="1:8" ht="15.75" thickBot="1" x14ac:dyDescent="0.3">
      <c r="A40" s="1" t="s">
        <v>29</v>
      </c>
    </row>
    <row r="41" spans="1:8" ht="30" customHeight="1" thickTop="1" thickBot="1" x14ac:dyDescent="0.3">
      <c r="A41" s="9" t="s">
        <v>7</v>
      </c>
      <c r="B41" s="9" t="s">
        <v>2</v>
      </c>
      <c r="C41" s="10" t="s">
        <v>6</v>
      </c>
      <c r="D41" s="11" t="s">
        <v>30</v>
      </c>
      <c r="E41" s="11" t="s">
        <v>31</v>
      </c>
      <c r="F41" s="11" t="s">
        <v>32</v>
      </c>
      <c r="G41" s="11" t="s">
        <v>33</v>
      </c>
      <c r="H41" s="11" t="s">
        <v>37</v>
      </c>
    </row>
    <row r="42" spans="1:8" ht="16.5" thickTop="1" thickBot="1" x14ac:dyDescent="0.3">
      <c r="A42" t="s">
        <v>23</v>
      </c>
      <c r="B42" t="s">
        <v>44</v>
      </c>
      <c r="C42" s="3" t="s">
        <v>22</v>
      </c>
      <c r="D42" s="15">
        <v>563.29999999999995</v>
      </c>
      <c r="E42" s="15">
        <v>157.80000000000001</v>
      </c>
      <c r="F42" s="15">
        <v>6.5</v>
      </c>
      <c r="G42" s="15">
        <f>G38-(D42+E42+F42)</f>
        <v>13.899999999999977</v>
      </c>
      <c r="H42" s="15">
        <f>SUM(D42:G42)</f>
        <v>741.49999999999989</v>
      </c>
    </row>
    <row r="43" spans="1:8" ht="16.5" thickTop="1" thickBot="1" x14ac:dyDescent="0.3">
      <c r="A43" s="77" t="s">
        <v>52</v>
      </c>
      <c r="B43" s="77"/>
      <c r="C43" s="77"/>
      <c r="D43" s="20">
        <f>D42/$G$38</f>
        <v>0.75967633175994609</v>
      </c>
      <c r="E43" s="23">
        <f>E42/$G$38</f>
        <v>0.21281186783546868</v>
      </c>
      <c r="F43" s="23">
        <f>F42/$G$38</f>
        <v>8.7660148347943369E-3</v>
      </c>
      <c r="G43" s="23">
        <f>G42/$G$38</f>
        <v>1.8745785569790938E-2</v>
      </c>
      <c r="H43" s="17">
        <f>SUM(D43:G43)</f>
        <v>1</v>
      </c>
    </row>
    <row r="44" spans="1:8" ht="15.75" thickTop="1" x14ac:dyDescent="0.25">
      <c r="A44" s="19" t="s">
        <v>16</v>
      </c>
    </row>
    <row r="45" spans="1:8" ht="10.5" customHeight="1" x14ac:dyDescent="0.25">
      <c r="A45" s="7" t="s">
        <v>36</v>
      </c>
    </row>
    <row r="46" spans="1:8" ht="10.5" customHeight="1" x14ac:dyDescent="0.25">
      <c r="A46" s="7" t="s">
        <v>35</v>
      </c>
    </row>
    <row r="47" spans="1:8" ht="10.5" customHeight="1" x14ac:dyDescent="0.25">
      <c r="A47" s="7" t="s">
        <v>34</v>
      </c>
    </row>
    <row r="48" spans="1:8" ht="10.5" customHeight="1" x14ac:dyDescent="0.25">
      <c r="A48" s="7" t="s">
        <v>50</v>
      </c>
    </row>
    <row r="49" spans="1:8" ht="6" customHeight="1" x14ac:dyDescent="0.25"/>
    <row r="50" spans="1:8" ht="15.75" thickBot="1" x14ac:dyDescent="0.3">
      <c r="A50" s="1" t="s">
        <v>54</v>
      </c>
      <c r="B50" s="1" t="s">
        <v>38</v>
      </c>
    </row>
    <row r="51" spans="1:8" ht="16.5" thickTop="1" thickBot="1" x14ac:dyDescent="0.3">
      <c r="A51" s="9" t="s">
        <v>7</v>
      </c>
      <c r="B51" s="9" t="s">
        <v>2</v>
      </c>
      <c r="C51" s="10" t="s">
        <v>6</v>
      </c>
      <c r="D51" s="10" t="s">
        <v>25</v>
      </c>
      <c r="E51" s="10" t="s">
        <v>3</v>
      </c>
      <c r="F51" s="10" t="s">
        <v>4</v>
      </c>
      <c r="G51" s="10" t="s">
        <v>5</v>
      </c>
      <c r="H51" s="11" t="s">
        <v>26</v>
      </c>
    </row>
    <row r="52" spans="1:8" ht="15.75" thickTop="1" x14ac:dyDescent="0.25">
      <c r="A52" t="s">
        <v>23</v>
      </c>
      <c r="B52" t="s">
        <v>39</v>
      </c>
      <c r="C52" s="4" t="s">
        <v>22</v>
      </c>
      <c r="D52" s="3">
        <v>1</v>
      </c>
      <c r="E52" s="15">
        <v>49.5</v>
      </c>
      <c r="F52" s="15">
        <v>1.7</v>
      </c>
      <c r="G52" s="15">
        <f>E52-F52</f>
        <v>47.8</v>
      </c>
      <c r="H52" s="4" t="s">
        <v>20</v>
      </c>
    </row>
    <row r="53" spans="1:8" x14ac:dyDescent="0.25">
      <c r="A53" t="s">
        <v>23</v>
      </c>
      <c r="B53" t="s">
        <v>39</v>
      </c>
      <c r="C53" s="4" t="s">
        <v>22</v>
      </c>
      <c r="D53" s="3">
        <f>D52+1</f>
        <v>2</v>
      </c>
      <c r="E53" s="15">
        <v>55</v>
      </c>
      <c r="F53" s="15">
        <v>1.8</v>
      </c>
      <c r="G53" s="15">
        <f t="shared" ref="G53:G56" si="5">E53-F53</f>
        <v>53.2</v>
      </c>
      <c r="H53" s="4" t="s">
        <v>20</v>
      </c>
    </row>
    <row r="54" spans="1:8" x14ac:dyDescent="0.25">
      <c r="A54" t="s">
        <v>23</v>
      </c>
      <c r="B54" t="s">
        <v>39</v>
      </c>
      <c r="C54" s="4" t="s">
        <v>22</v>
      </c>
      <c r="D54" s="3">
        <f t="shared" ref="D54:D74" si="6">D53+1</f>
        <v>3</v>
      </c>
      <c r="E54" s="15">
        <v>47.5</v>
      </c>
      <c r="F54" s="15">
        <v>1.8</v>
      </c>
      <c r="G54" s="15">
        <f t="shared" si="5"/>
        <v>45.7</v>
      </c>
      <c r="H54" s="4" t="s">
        <v>20</v>
      </c>
    </row>
    <row r="55" spans="1:8" x14ac:dyDescent="0.25">
      <c r="A55" t="s">
        <v>23</v>
      </c>
      <c r="B55" t="s">
        <v>39</v>
      </c>
      <c r="C55" s="4" t="s">
        <v>22</v>
      </c>
      <c r="D55" s="3">
        <f t="shared" si="6"/>
        <v>4</v>
      </c>
      <c r="E55" s="15">
        <v>50</v>
      </c>
      <c r="F55" s="15">
        <v>1.8</v>
      </c>
      <c r="G55" s="15">
        <f t="shared" si="5"/>
        <v>48.2</v>
      </c>
      <c r="H55" s="4" t="s">
        <v>20</v>
      </c>
    </row>
    <row r="56" spans="1:8" x14ac:dyDescent="0.25">
      <c r="A56" t="s">
        <v>23</v>
      </c>
      <c r="B56" t="s">
        <v>39</v>
      </c>
      <c r="C56" s="4" t="s">
        <v>22</v>
      </c>
      <c r="D56" s="3">
        <f t="shared" si="6"/>
        <v>5</v>
      </c>
      <c r="E56" s="15">
        <v>61.7</v>
      </c>
      <c r="F56" s="15">
        <v>1.7</v>
      </c>
      <c r="G56" s="15">
        <f t="shared" si="5"/>
        <v>60</v>
      </c>
      <c r="H56" s="4" t="s">
        <v>20</v>
      </c>
    </row>
    <row r="57" spans="1:8" x14ac:dyDescent="0.25">
      <c r="A57" t="s">
        <v>23</v>
      </c>
      <c r="B57" t="s">
        <v>39</v>
      </c>
      <c r="C57" s="4" t="s">
        <v>22</v>
      </c>
      <c r="D57" s="3">
        <f t="shared" si="6"/>
        <v>6</v>
      </c>
      <c r="E57" s="15">
        <v>45.4</v>
      </c>
      <c r="F57" s="15">
        <v>1.5</v>
      </c>
      <c r="G57" s="15">
        <f t="shared" ref="G57:G74" si="7">E57-F57</f>
        <v>43.9</v>
      </c>
      <c r="H57" s="4" t="s">
        <v>20</v>
      </c>
    </row>
    <row r="58" spans="1:8" x14ac:dyDescent="0.25">
      <c r="A58" t="s">
        <v>23</v>
      </c>
      <c r="B58" t="s">
        <v>39</v>
      </c>
      <c r="C58" s="4" t="s">
        <v>22</v>
      </c>
      <c r="D58" s="3">
        <f t="shared" si="6"/>
        <v>7</v>
      </c>
      <c r="E58" s="15">
        <v>47</v>
      </c>
      <c r="F58" s="15">
        <v>1.7</v>
      </c>
      <c r="G58" s="15">
        <f t="shared" si="7"/>
        <v>45.3</v>
      </c>
      <c r="H58" s="4" t="s">
        <v>20</v>
      </c>
    </row>
    <row r="59" spans="1:8" x14ac:dyDescent="0.25">
      <c r="A59" t="s">
        <v>23</v>
      </c>
      <c r="B59" t="s">
        <v>39</v>
      </c>
      <c r="C59" s="4" t="s">
        <v>22</v>
      </c>
      <c r="D59" s="3">
        <f t="shared" si="6"/>
        <v>8</v>
      </c>
      <c r="E59" s="15">
        <v>49.6</v>
      </c>
      <c r="F59" s="15">
        <v>1.8</v>
      </c>
      <c r="G59" s="15">
        <f t="shared" si="7"/>
        <v>47.800000000000004</v>
      </c>
      <c r="H59" s="4" t="s">
        <v>20</v>
      </c>
    </row>
    <row r="60" spans="1:8" x14ac:dyDescent="0.25">
      <c r="A60" t="s">
        <v>23</v>
      </c>
      <c r="B60" t="s">
        <v>39</v>
      </c>
      <c r="C60" s="4" t="s">
        <v>22</v>
      </c>
      <c r="D60" s="3">
        <f t="shared" si="6"/>
        <v>9</v>
      </c>
      <c r="E60" s="15">
        <v>57.1</v>
      </c>
      <c r="F60" s="15">
        <v>1.8</v>
      </c>
      <c r="G60" s="15">
        <f t="shared" si="7"/>
        <v>55.300000000000004</v>
      </c>
      <c r="H60" s="4" t="s">
        <v>20</v>
      </c>
    </row>
    <row r="61" spans="1:8" x14ac:dyDescent="0.25">
      <c r="A61" t="s">
        <v>23</v>
      </c>
      <c r="B61" t="s">
        <v>39</v>
      </c>
      <c r="C61" s="4" t="s">
        <v>22</v>
      </c>
      <c r="D61" s="3">
        <f t="shared" si="6"/>
        <v>10</v>
      </c>
      <c r="E61" s="15">
        <v>49.9</v>
      </c>
      <c r="F61" s="15">
        <v>2.1</v>
      </c>
      <c r="G61" s="15">
        <f t="shared" si="7"/>
        <v>47.8</v>
      </c>
      <c r="H61" s="4" t="s">
        <v>20</v>
      </c>
    </row>
    <row r="62" spans="1:8" x14ac:dyDescent="0.25">
      <c r="A62" t="s">
        <v>23</v>
      </c>
      <c r="B62" t="s">
        <v>39</v>
      </c>
      <c r="C62" s="4" t="s">
        <v>22</v>
      </c>
      <c r="D62" s="3">
        <f t="shared" si="6"/>
        <v>11</v>
      </c>
      <c r="E62" s="15">
        <v>48.3</v>
      </c>
      <c r="F62" s="15">
        <v>1.6</v>
      </c>
      <c r="G62" s="15">
        <f t="shared" si="7"/>
        <v>46.699999999999996</v>
      </c>
      <c r="H62" s="4" t="s">
        <v>20</v>
      </c>
    </row>
    <row r="63" spans="1:8" x14ac:dyDescent="0.25">
      <c r="A63" t="s">
        <v>23</v>
      </c>
      <c r="B63" t="s">
        <v>39</v>
      </c>
      <c r="C63" s="4" t="s">
        <v>22</v>
      </c>
      <c r="D63" s="3">
        <f t="shared" si="6"/>
        <v>12</v>
      </c>
      <c r="E63" s="15">
        <v>49.1</v>
      </c>
      <c r="F63" s="15">
        <v>1.4</v>
      </c>
      <c r="G63" s="15">
        <f t="shared" si="7"/>
        <v>47.7</v>
      </c>
      <c r="H63" s="4" t="s">
        <v>20</v>
      </c>
    </row>
    <row r="64" spans="1:8" x14ac:dyDescent="0.25">
      <c r="A64" t="s">
        <v>23</v>
      </c>
      <c r="B64" t="s">
        <v>39</v>
      </c>
      <c r="C64" s="4" t="s">
        <v>22</v>
      </c>
      <c r="D64" s="3">
        <f t="shared" si="6"/>
        <v>13</v>
      </c>
      <c r="E64" s="15">
        <v>51.6</v>
      </c>
      <c r="F64" s="15">
        <v>1.5</v>
      </c>
      <c r="G64" s="15">
        <f t="shared" si="7"/>
        <v>50.1</v>
      </c>
      <c r="H64" s="4" t="s">
        <v>20</v>
      </c>
    </row>
    <row r="65" spans="1:8" x14ac:dyDescent="0.25">
      <c r="A65" t="s">
        <v>23</v>
      </c>
      <c r="B65" t="s">
        <v>39</v>
      </c>
      <c r="C65" s="4" t="s">
        <v>22</v>
      </c>
      <c r="D65" s="3">
        <f t="shared" si="6"/>
        <v>14</v>
      </c>
      <c r="E65" s="15">
        <v>62.4</v>
      </c>
      <c r="F65" s="15">
        <v>1.3</v>
      </c>
      <c r="G65" s="15">
        <f t="shared" si="7"/>
        <v>61.1</v>
      </c>
      <c r="H65" s="4" t="s">
        <v>20</v>
      </c>
    </row>
    <row r="66" spans="1:8" x14ac:dyDescent="0.25">
      <c r="A66" t="s">
        <v>23</v>
      </c>
      <c r="B66" t="s">
        <v>39</v>
      </c>
      <c r="C66" s="4" t="s">
        <v>22</v>
      </c>
      <c r="D66" s="3">
        <f t="shared" si="6"/>
        <v>15</v>
      </c>
      <c r="E66" s="15">
        <v>51.8</v>
      </c>
      <c r="F66" s="15">
        <v>1.7</v>
      </c>
      <c r="G66" s="15">
        <f t="shared" si="7"/>
        <v>50.099999999999994</v>
      </c>
      <c r="H66" s="4" t="s">
        <v>20</v>
      </c>
    </row>
    <row r="67" spans="1:8" x14ac:dyDescent="0.25">
      <c r="A67" t="s">
        <v>23</v>
      </c>
      <c r="B67" t="s">
        <v>39</v>
      </c>
      <c r="C67" s="4" t="s">
        <v>22</v>
      </c>
      <c r="D67" s="3">
        <f t="shared" si="6"/>
        <v>16</v>
      </c>
      <c r="E67" s="15">
        <v>51.8</v>
      </c>
      <c r="F67" s="15">
        <v>1.8</v>
      </c>
      <c r="G67" s="15">
        <f t="shared" si="7"/>
        <v>50</v>
      </c>
      <c r="H67" s="4" t="s">
        <v>20</v>
      </c>
    </row>
    <row r="68" spans="1:8" x14ac:dyDescent="0.25">
      <c r="A68" t="s">
        <v>23</v>
      </c>
      <c r="B68" t="s">
        <v>39</v>
      </c>
      <c r="C68" s="4" t="s">
        <v>22</v>
      </c>
      <c r="D68" s="3">
        <f t="shared" si="6"/>
        <v>17</v>
      </c>
      <c r="E68" s="15">
        <v>57.7</v>
      </c>
      <c r="F68" s="15">
        <v>1.7</v>
      </c>
      <c r="G68" s="15">
        <f t="shared" si="7"/>
        <v>56</v>
      </c>
      <c r="H68" s="4" t="s">
        <v>20</v>
      </c>
    </row>
    <row r="69" spans="1:8" x14ac:dyDescent="0.25">
      <c r="A69" t="s">
        <v>23</v>
      </c>
      <c r="B69" t="s">
        <v>39</v>
      </c>
      <c r="C69" s="4" t="s">
        <v>22</v>
      </c>
      <c r="D69" s="3">
        <f t="shared" si="6"/>
        <v>18</v>
      </c>
      <c r="E69" s="15">
        <v>54.2</v>
      </c>
      <c r="F69" s="15">
        <v>1.6</v>
      </c>
      <c r="G69" s="15">
        <f t="shared" si="7"/>
        <v>52.6</v>
      </c>
      <c r="H69" s="4" t="s">
        <v>20</v>
      </c>
    </row>
    <row r="70" spans="1:8" x14ac:dyDescent="0.25">
      <c r="A70" t="s">
        <v>23</v>
      </c>
      <c r="B70" t="s">
        <v>39</v>
      </c>
      <c r="C70" s="4" t="s">
        <v>22</v>
      </c>
      <c r="D70" s="3">
        <f t="shared" si="6"/>
        <v>19</v>
      </c>
      <c r="E70" s="15">
        <v>46.7</v>
      </c>
      <c r="F70" s="15">
        <v>1.8</v>
      </c>
      <c r="G70" s="15">
        <f t="shared" si="7"/>
        <v>44.900000000000006</v>
      </c>
      <c r="H70" s="4" t="s">
        <v>20</v>
      </c>
    </row>
    <row r="71" spans="1:8" x14ac:dyDescent="0.25">
      <c r="A71" t="s">
        <v>23</v>
      </c>
      <c r="B71" t="s">
        <v>39</v>
      </c>
      <c r="C71" s="4" t="s">
        <v>22</v>
      </c>
      <c r="D71" s="3">
        <f t="shared" si="6"/>
        <v>20</v>
      </c>
      <c r="E71" s="15">
        <v>51.5</v>
      </c>
      <c r="F71" s="15">
        <v>1.8</v>
      </c>
      <c r="G71" s="15">
        <f t="shared" si="7"/>
        <v>49.7</v>
      </c>
      <c r="H71" s="4" t="s">
        <v>20</v>
      </c>
    </row>
    <row r="72" spans="1:8" x14ac:dyDescent="0.25">
      <c r="A72" t="s">
        <v>23</v>
      </c>
      <c r="B72" t="s">
        <v>39</v>
      </c>
      <c r="C72" s="4" t="s">
        <v>22</v>
      </c>
      <c r="D72" s="3">
        <f t="shared" si="6"/>
        <v>21</v>
      </c>
      <c r="E72" s="15">
        <v>47.8</v>
      </c>
      <c r="F72" s="15">
        <v>1.6</v>
      </c>
      <c r="G72" s="15">
        <f t="shared" si="7"/>
        <v>46.199999999999996</v>
      </c>
      <c r="H72" s="4" t="s">
        <v>20</v>
      </c>
    </row>
    <row r="73" spans="1:8" x14ac:dyDescent="0.25">
      <c r="A73" t="s">
        <v>23</v>
      </c>
      <c r="B73" t="s">
        <v>39</v>
      </c>
      <c r="C73" s="4" t="s">
        <v>22</v>
      </c>
      <c r="D73" s="3">
        <f t="shared" si="6"/>
        <v>22</v>
      </c>
      <c r="E73" s="15">
        <v>58.2</v>
      </c>
      <c r="F73" s="15">
        <v>1.7</v>
      </c>
      <c r="G73" s="15">
        <f t="shared" si="7"/>
        <v>56.5</v>
      </c>
      <c r="H73" s="4" t="s">
        <v>20</v>
      </c>
    </row>
    <row r="74" spans="1:8" ht="15.75" thickBot="1" x14ac:dyDescent="0.3">
      <c r="A74" t="s">
        <v>23</v>
      </c>
      <c r="B74" t="s">
        <v>39</v>
      </c>
      <c r="C74" s="4" t="s">
        <v>22</v>
      </c>
      <c r="D74" s="3">
        <f t="shared" si="6"/>
        <v>23</v>
      </c>
      <c r="E74" s="15">
        <v>52.5</v>
      </c>
      <c r="F74" s="15">
        <v>2.1</v>
      </c>
      <c r="G74" s="15">
        <f t="shared" si="7"/>
        <v>50.4</v>
      </c>
      <c r="H74" s="4" t="s">
        <v>20</v>
      </c>
    </row>
    <row r="75" spans="1:8" ht="16.5" thickTop="1" thickBot="1" x14ac:dyDescent="0.3">
      <c r="A75" s="75" t="s">
        <v>27</v>
      </c>
      <c r="B75" s="75"/>
      <c r="C75" s="75"/>
      <c r="D75" s="12">
        <f>D74</f>
        <v>23</v>
      </c>
      <c r="E75" s="14">
        <f>SUM(E52:E74)</f>
        <v>1196.3000000000002</v>
      </c>
      <c r="F75" s="14">
        <f>SUM(F52:F74)</f>
        <v>39.300000000000004</v>
      </c>
      <c r="G75" s="14">
        <f>SUM(G52:G74)</f>
        <v>1157.0000000000002</v>
      </c>
      <c r="H75" s="13"/>
    </row>
    <row r="76" spans="1:8" ht="6" customHeight="1" thickTop="1" x14ac:dyDescent="0.25"/>
    <row r="77" spans="1:8" ht="15.75" thickBot="1" x14ac:dyDescent="0.3">
      <c r="A77" s="1" t="s">
        <v>29</v>
      </c>
    </row>
    <row r="78" spans="1:8" ht="33" customHeight="1" thickTop="1" thickBot="1" x14ac:dyDescent="0.3">
      <c r="A78" s="9" t="s">
        <v>7</v>
      </c>
      <c r="B78" s="9" t="s">
        <v>2</v>
      </c>
      <c r="C78" s="10" t="s">
        <v>6</v>
      </c>
      <c r="D78" s="11" t="s">
        <v>30</v>
      </c>
      <c r="E78" s="11" t="s">
        <v>31</v>
      </c>
      <c r="F78" s="11" t="s">
        <v>32</v>
      </c>
      <c r="G78" s="11" t="s">
        <v>33</v>
      </c>
      <c r="H78" s="11" t="s">
        <v>37</v>
      </c>
    </row>
    <row r="79" spans="1:8" ht="16.5" thickTop="1" thickBot="1" x14ac:dyDescent="0.3">
      <c r="A79" t="s">
        <v>23</v>
      </c>
      <c r="B79" t="s">
        <v>39</v>
      </c>
      <c r="C79" s="4" t="s">
        <v>22</v>
      </c>
      <c r="D79" s="15">
        <v>770.8</v>
      </c>
      <c r="E79" s="28">
        <v>357.3</v>
      </c>
      <c r="F79" s="15">
        <v>16.7</v>
      </c>
      <c r="G79" s="15">
        <f>G75-(D79+E79+F79)</f>
        <v>12.200000000000273</v>
      </c>
      <c r="H79" s="15">
        <f>SUM(D79:G79)</f>
        <v>1157.0000000000002</v>
      </c>
    </row>
    <row r="80" spans="1:8" ht="16.5" thickTop="1" thickBot="1" x14ac:dyDescent="0.3">
      <c r="A80" s="77" t="s">
        <v>52</v>
      </c>
      <c r="B80" s="77"/>
      <c r="C80" s="77"/>
      <c r="D80" s="20">
        <f>D79/$G$75</f>
        <v>0.66620570440795146</v>
      </c>
      <c r="E80" s="23">
        <f>E79/$G$75</f>
        <v>0.30881590319792562</v>
      </c>
      <c r="F80" s="23">
        <f>F79/$G$75</f>
        <v>1.4433880726015555E-2</v>
      </c>
      <c r="G80" s="23">
        <f>G79/$G$75</f>
        <v>1.0544511668107407E-2</v>
      </c>
      <c r="H80" s="17">
        <f>SUM(D80:G80)</f>
        <v>1</v>
      </c>
    </row>
    <row r="81" spans="1:8" ht="15.75" thickTop="1" x14ac:dyDescent="0.25">
      <c r="A81" s="19" t="s">
        <v>16</v>
      </c>
    </row>
    <row r="82" spans="1:8" ht="10.5" customHeight="1" x14ac:dyDescent="0.25">
      <c r="A82" s="7" t="s">
        <v>36</v>
      </c>
    </row>
    <row r="83" spans="1:8" ht="10.5" customHeight="1" x14ac:dyDescent="0.25">
      <c r="A83" s="7" t="s">
        <v>35</v>
      </c>
    </row>
    <row r="84" spans="1:8" ht="10.5" customHeight="1" x14ac:dyDescent="0.25">
      <c r="A84" s="7" t="s">
        <v>34</v>
      </c>
    </row>
    <row r="85" spans="1:8" ht="10.5" customHeight="1" x14ac:dyDescent="0.25">
      <c r="A85" s="7" t="s">
        <v>50</v>
      </c>
    </row>
    <row r="86" spans="1:8" ht="5.25" customHeight="1" x14ac:dyDescent="0.25"/>
    <row r="87" spans="1:8" ht="15.75" thickBot="1" x14ac:dyDescent="0.3">
      <c r="A87" s="1" t="s">
        <v>55</v>
      </c>
      <c r="B87" s="1" t="s">
        <v>67</v>
      </c>
    </row>
    <row r="88" spans="1:8" ht="16.5" thickTop="1" thickBot="1" x14ac:dyDescent="0.3">
      <c r="A88" s="9" t="s">
        <v>7</v>
      </c>
      <c r="B88" s="9" t="s">
        <v>2</v>
      </c>
      <c r="C88" s="10" t="s">
        <v>6</v>
      </c>
      <c r="D88" s="10" t="s">
        <v>25</v>
      </c>
      <c r="E88" s="10" t="s">
        <v>3</v>
      </c>
      <c r="F88" s="10" t="s">
        <v>4</v>
      </c>
      <c r="G88" s="10" t="s">
        <v>5</v>
      </c>
      <c r="H88" s="11" t="s">
        <v>26</v>
      </c>
    </row>
    <row r="89" spans="1:8" ht="15.75" thickTop="1" x14ac:dyDescent="0.25">
      <c r="A89" t="s">
        <v>23</v>
      </c>
      <c r="B89" t="s">
        <v>65</v>
      </c>
      <c r="C89" s="4" t="s">
        <v>22</v>
      </c>
      <c r="D89" s="3">
        <v>1</v>
      </c>
      <c r="E89" s="15">
        <v>52.4</v>
      </c>
      <c r="F89" s="15">
        <v>1.7</v>
      </c>
      <c r="G89" s="15">
        <f>E89-F89</f>
        <v>50.699999999999996</v>
      </c>
      <c r="H89" s="4" t="s">
        <v>20</v>
      </c>
    </row>
    <row r="90" spans="1:8" x14ac:dyDescent="0.25">
      <c r="A90" t="s">
        <v>23</v>
      </c>
      <c r="B90" t="s">
        <v>65</v>
      </c>
      <c r="C90" s="4" t="s">
        <v>22</v>
      </c>
      <c r="D90" s="3">
        <f>D89+1</f>
        <v>2</v>
      </c>
      <c r="E90" s="15">
        <v>44.6</v>
      </c>
      <c r="F90" s="15">
        <v>1.9</v>
      </c>
      <c r="G90" s="15">
        <f t="shared" ref="G90:G93" si="8">E90-F90</f>
        <v>42.7</v>
      </c>
      <c r="H90" s="4" t="s">
        <v>20</v>
      </c>
    </row>
    <row r="91" spans="1:8" x14ac:dyDescent="0.25">
      <c r="A91" t="s">
        <v>23</v>
      </c>
      <c r="B91" t="s">
        <v>65</v>
      </c>
      <c r="C91" s="4" t="s">
        <v>22</v>
      </c>
      <c r="D91" s="3">
        <f t="shared" ref="D91:D118" si="9">D90+1</f>
        <v>3</v>
      </c>
      <c r="E91" s="15">
        <v>48.8</v>
      </c>
      <c r="F91" s="15">
        <v>1.5</v>
      </c>
      <c r="G91" s="15">
        <f t="shared" si="8"/>
        <v>47.3</v>
      </c>
      <c r="H91" s="4" t="s">
        <v>20</v>
      </c>
    </row>
    <row r="92" spans="1:8" x14ac:dyDescent="0.25">
      <c r="A92" t="s">
        <v>23</v>
      </c>
      <c r="B92" t="s">
        <v>65</v>
      </c>
      <c r="C92" s="4" t="s">
        <v>22</v>
      </c>
      <c r="D92" s="3">
        <f t="shared" si="9"/>
        <v>4</v>
      </c>
      <c r="E92" s="15">
        <v>49.6</v>
      </c>
      <c r="F92" s="15">
        <v>1.3</v>
      </c>
      <c r="G92" s="15">
        <f t="shared" si="8"/>
        <v>48.300000000000004</v>
      </c>
      <c r="H92" s="4" t="s">
        <v>20</v>
      </c>
    </row>
    <row r="93" spans="1:8" x14ac:dyDescent="0.25">
      <c r="A93" t="s">
        <v>23</v>
      </c>
      <c r="B93" t="s">
        <v>65</v>
      </c>
      <c r="C93" s="4" t="s">
        <v>22</v>
      </c>
      <c r="D93" s="3">
        <f t="shared" si="9"/>
        <v>5</v>
      </c>
      <c r="E93" s="15">
        <v>48.6</v>
      </c>
      <c r="F93" s="15">
        <v>1.1000000000000001</v>
      </c>
      <c r="G93" s="15">
        <f t="shared" si="8"/>
        <v>47.5</v>
      </c>
      <c r="H93" s="4" t="s">
        <v>20</v>
      </c>
    </row>
    <row r="94" spans="1:8" x14ac:dyDescent="0.25">
      <c r="A94" t="s">
        <v>23</v>
      </c>
      <c r="B94" t="s">
        <v>65</v>
      </c>
      <c r="C94" s="4" t="s">
        <v>22</v>
      </c>
      <c r="D94" s="3">
        <f t="shared" si="9"/>
        <v>6</v>
      </c>
      <c r="E94" s="15">
        <v>46.3</v>
      </c>
      <c r="F94" s="15">
        <v>1.4</v>
      </c>
      <c r="G94" s="15">
        <f t="shared" ref="G94:G114" si="10">E94-F94</f>
        <v>44.9</v>
      </c>
      <c r="H94" s="4" t="s">
        <v>20</v>
      </c>
    </row>
    <row r="95" spans="1:8" x14ac:dyDescent="0.25">
      <c r="A95" t="s">
        <v>23</v>
      </c>
      <c r="B95" t="s">
        <v>65</v>
      </c>
      <c r="C95" s="4" t="s">
        <v>22</v>
      </c>
      <c r="D95" s="3">
        <f t="shared" si="9"/>
        <v>7</v>
      </c>
      <c r="E95" s="15">
        <v>47.1</v>
      </c>
      <c r="F95" s="15">
        <v>2.2999999999999998</v>
      </c>
      <c r="G95" s="15">
        <f t="shared" si="10"/>
        <v>44.800000000000004</v>
      </c>
      <c r="H95" s="4" t="s">
        <v>20</v>
      </c>
    </row>
    <row r="96" spans="1:8" x14ac:dyDescent="0.25">
      <c r="A96" t="s">
        <v>23</v>
      </c>
      <c r="B96" t="s">
        <v>65</v>
      </c>
      <c r="C96" s="4" t="s">
        <v>22</v>
      </c>
      <c r="D96" s="3">
        <f t="shared" si="9"/>
        <v>8</v>
      </c>
      <c r="E96" s="15">
        <v>48.2</v>
      </c>
      <c r="F96" s="15">
        <v>1.3</v>
      </c>
      <c r="G96" s="15">
        <f t="shared" si="10"/>
        <v>46.900000000000006</v>
      </c>
      <c r="H96" s="4" t="s">
        <v>20</v>
      </c>
    </row>
    <row r="97" spans="1:8" x14ac:dyDescent="0.25">
      <c r="A97" t="s">
        <v>23</v>
      </c>
      <c r="B97" t="s">
        <v>65</v>
      </c>
      <c r="C97" s="4" t="s">
        <v>22</v>
      </c>
      <c r="D97" s="3">
        <f t="shared" si="9"/>
        <v>9</v>
      </c>
      <c r="E97" s="15">
        <v>44.9</v>
      </c>
      <c r="F97" s="15">
        <v>1.4</v>
      </c>
      <c r="G97" s="15">
        <f t="shared" si="10"/>
        <v>43.5</v>
      </c>
      <c r="H97" s="4" t="s">
        <v>20</v>
      </c>
    </row>
    <row r="98" spans="1:8" x14ac:dyDescent="0.25">
      <c r="A98" t="s">
        <v>23</v>
      </c>
      <c r="B98" t="s">
        <v>65</v>
      </c>
      <c r="C98" s="4" t="s">
        <v>22</v>
      </c>
      <c r="D98" s="3">
        <f t="shared" si="9"/>
        <v>10</v>
      </c>
      <c r="E98" s="15">
        <v>52</v>
      </c>
      <c r="F98" s="15">
        <v>2.2000000000000002</v>
      </c>
      <c r="G98" s="15">
        <f t="shared" si="10"/>
        <v>49.8</v>
      </c>
      <c r="H98" s="4" t="s">
        <v>20</v>
      </c>
    </row>
    <row r="99" spans="1:8" x14ac:dyDescent="0.25">
      <c r="A99" t="s">
        <v>23</v>
      </c>
      <c r="B99" t="s">
        <v>65</v>
      </c>
      <c r="C99" s="4" t="s">
        <v>22</v>
      </c>
      <c r="D99" s="3">
        <f t="shared" si="9"/>
        <v>11</v>
      </c>
      <c r="E99" s="15">
        <v>51.1</v>
      </c>
      <c r="F99" s="15">
        <v>1.6</v>
      </c>
      <c r="G99" s="15">
        <f t="shared" si="10"/>
        <v>49.5</v>
      </c>
      <c r="H99" s="4" t="s">
        <v>20</v>
      </c>
    </row>
    <row r="100" spans="1:8" x14ac:dyDescent="0.25">
      <c r="A100" t="s">
        <v>23</v>
      </c>
      <c r="B100" t="s">
        <v>65</v>
      </c>
      <c r="C100" s="4" t="s">
        <v>22</v>
      </c>
      <c r="D100" s="3">
        <f t="shared" si="9"/>
        <v>12</v>
      </c>
      <c r="E100" s="15">
        <v>46.1</v>
      </c>
      <c r="F100" s="15">
        <v>1.5</v>
      </c>
      <c r="G100" s="15">
        <f t="shared" si="10"/>
        <v>44.6</v>
      </c>
      <c r="H100" s="4" t="s">
        <v>20</v>
      </c>
    </row>
    <row r="101" spans="1:8" x14ac:dyDescent="0.25">
      <c r="A101" t="s">
        <v>23</v>
      </c>
      <c r="B101" t="s">
        <v>65</v>
      </c>
      <c r="C101" s="4" t="s">
        <v>22</v>
      </c>
      <c r="D101" s="3">
        <f t="shared" si="9"/>
        <v>13</v>
      </c>
      <c r="E101" s="15">
        <v>47</v>
      </c>
      <c r="F101" s="15">
        <v>1.3</v>
      </c>
      <c r="G101" s="15">
        <f t="shared" si="10"/>
        <v>45.7</v>
      </c>
      <c r="H101" s="4" t="s">
        <v>20</v>
      </c>
    </row>
    <row r="102" spans="1:8" x14ac:dyDescent="0.25">
      <c r="A102" t="s">
        <v>23</v>
      </c>
      <c r="B102" t="s">
        <v>65</v>
      </c>
      <c r="C102" s="4" t="s">
        <v>22</v>
      </c>
      <c r="D102" s="3">
        <f t="shared" si="9"/>
        <v>14</v>
      </c>
      <c r="E102" s="15">
        <v>43.3</v>
      </c>
      <c r="F102" s="15">
        <v>1.2</v>
      </c>
      <c r="G102" s="15">
        <f t="shared" si="10"/>
        <v>42.099999999999994</v>
      </c>
      <c r="H102" s="4" t="s">
        <v>20</v>
      </c>
    </row>
    <row r="103" spans="1:8" x14ac:dyDescent="0.25">
      <c r="A103" t="s">
        <v>23</v>
      </c>
      <c r="B103" t="s">
        <v>65</v>
      </c>
      <c r="C103" s="4" t="s">
        <v>22</v>
      </c>
      <c r="D103" s="3">
        <f t="shared" si="9"/>
        <v>15</v>
      </c>
      <c r="E103" s="15">
        <v>39.4</v>
      </c>
      <c r="F103" s="15">
        <v>1.4</v>
      </c>
      <c r="G103" s="15">
        <f t="shared" si="10"/>
        <v>38</v>
      </c>
      <c r="H103" s="4" t="s">
        <v>20</v>
      </c>
    </row>
    <row r="104" spans="1:8" x14ac:dyDescent="0.25">
      <c r="A104" t="s">
        <v>23</v>
      </c>
      <c r="B104" t="s">
        <v>65</v>
      </c>
      <c r="C104" s="4" t="s">
        <v>22</v>
      </c>
      <c r="D104" s="3">
        <f t="shared" si="9"/>
        <v>16</v>
      </c>
      <c r="E104" s="15">
        <v>50</v>
      </c>
      <c r="F104" s="15">
        <v>1.3</v>
      </c>
      <c r="G104" s="15">
        <f t="shared" si="10"/>
        <v>48.7</v>
      </c>
      <c r="H104" s="4" t="s">
        <v>20</v>
      </c>
    </row>
    <row r="105" spans="1:8" x14ac:dyDescent="0.25">
      <c r="A105" t="s">
        <v>23</v>
      </c>
      <c r="B105" t="s">
        <v>65</v>
      </c>
      <c r="C105" s="4" t="s">
        <v>22</v>
      </c>
      <c r="D105" s="3">
        <f t="shared" si="9"/>
        <v>17</v>
      </c>
      <c r="E105" s="15">
        <v>45.3</v>
      </c>
      <c r="F105" s="15">
        <v>2.1</v>
      </c>
      <c r="G105" s="15">
        <f t="shared" si="10"/>
        <v>43.199999999999996</v>
      </c>
      <c r="H105" s="4" t="s">
        <v>20</v>
      </c>
    </row>
    <row r="106" spans="1:8" x14ac:dyDescent="0.25">
      <c r="A106" t="s">
        <v>23</v>
      </c>
      <c r="B106" t="s">
        <v>65</v>
      </c>
      <c r="C106" s="4" t="s">
        <v>22</v>
      </c>
      <c r="D106" s="3">
        <f t="shared" si="9"/>
        <v>18</v>
      </c>
      <c r="E106" s="15">
        <v>48.3</v>
      </c>
      <c r="F106" s="15">
        <v>1.7</v>
      </c>
      <c r="G106" s="15">
        <f t="shared" si="10"/>
        <v>46.599999999999994</v>
      </c>
      <c r="H106" s="4" t="s">
        <v>20</v>
      </c>
    </row>
    <row r="107" spans="1:8" x14ac:dyDescent="0.25">
      <c r="A107" t="s">
        <v>23</v>
      </c>
      <c r="B107" t="s">
        <v>65</v>
      </c>
      <c r="C107" s="4" t="s">
        <v>22</v>
      </c>
      <c r="D107" s="3">
        <f t="shared" si="9"/>
        <v>19</v>
      </c>
      <c r="E107" s="15">
        <v>45.2</v>
      </c>
      <c r="F107" s="15">
        <v>1.6</v>
      </c>
      <c r="G107" s="15">
        <f t="shared" si="10"/>
        <v>43.6</v>
      </c>
      <c r="H107" s="4" t="s">
        <v>20</v>
      </c>
    </row>
    <row r="108" spans="1:8" x14ac:dyDescent="0.25">
      <c r="A108" t="s">
        <v>23</v>
      </c>
      <c r="B108" t="s">
        <v>65</v>
      </c>
      <c r="C108" s="4" t="s">
        <v>22</v>
      </c>
      <c r="D108" s="3">
        <f t="shared" si="9"/>
        <v>20</v>
      </c>
      <c r="E108" s="15">
        <v>45.1</v>
      </c>
      <c r="F108" s="15">
        <v>1.6</v>
      </c>
      <c r="G108" s="15">
        <f t="shared" si="10"/>
        <v>43.5</v>
      </c>
      <c r="H108" s="4" t="s">
        <v>20</v>
      </c>
    </row>
    <row r="109" spans="1:8" x14ac:dyDescent="0.25">
      <c r="A109" t="s">
        <v>23</v>
      </c>
      <c r="B109" t="s">
        <v>65</v>
      </c>
      <c r="C109" s="4" t="s">
        <v>22</v>
      </c>
      <c r="D109" s="3">
        <f t="shared" si="9"/>
        <v>21</v>
      </c>
      <c r="E109" s="15">
        <v>44.3</v>
      </c>
      <c r="F109" s="15">
        <v>1.9</v>
      </c>
      <c r="G109" s="15">
        <f t="shared" si="10"/>
        <v>42.4</v>
      </c>
      <c r="H109" s="4" t="s">
        <v>20</v>
      </c>
    </row>
    <row r="110" spans="1:8" x14ac:dyDescent="0.25">
      <c r="A110" t="s">
        <v>23</v>
      </c>
      <c r="B110" t="s">
        <v>65</v>
      </c>
      <c r="C110" s="4" t="s">
        <v>22</v>
      </c>
      <c r="D110" s="3">
        <f t="shared" si="9"/>
        <v>22</v>
      </c>
      <c r="E110" s="15">
        <v>46.5</v>
      </c>
      <c r="F110" s="15">
        <v>1.8</v>
      </c>
      <c r="G110" s="15">
        <f t="shared" si="10"/>
        <v>44.7</v>
      </c>
      <c r="H110" s="4" t="s">
        <v>20</v>
      </c>
    </row>
    <row r="111" spans="1:8" x14ac:dyDescent="0.25">
      <c r="A111" t="s">
        <v>23</v>
      </c>
      <c r="B111" t="s">
        <v>65</v>
      </c>
      <c r="C111" s="4" t="s">
        <v>22</v>
      </c>
      <c r="D111" s="3">
        <f t="shared" si="9"/>
        <v>23</v>
      </c>
      <c r="E111" s="15">
        <v>45.2</v>
      </c>
      <c r="F111" s="15">
        <v>2.1</v>
      </c>
      <c r="G111" s="15">
        <f t="shared" si="10"/>
        <v>43.1</v>
      </c>
      <c r="H111" s="4" t="s">
        <v>20</v>
      </c>
    </row>
    <row r="112" spans="1:8" x14ac:dyDescent="0.25">
      <c r="A112" t="s">
        <v>23</v>
      </c>
      <c r="B112" t="s">
        <v>65</v>
      </c>
      <c r="C112" s="4" t="s">
        <v>22</v>
      </c>
      <c r="D112" s="3">
        <f t="shared" si="9"/>
        <v>24</v>
      </c>
      <c r="E112" s="15">
        <v>54.8</v>
      </c>
      <c r="F112" s="15">
        <v>1.9</v>
      </c>
      <c r="G112" s="15">
        <f t="shared" si="10"/>
        <v>52.9</v>
      </c>
      <c r="H112" s="4" t="s">
        <v>20</v>
      </c>
    </row>
    <row r="113" spans="1:8" x14ac:dyDescent="0.25">
      <c r="A113" t="s">
        <v>23</v>
      </c>
      <c r="B113" t="s">
        <v>65</v>
      </c>
      <c r="C113" s="4" t="s">
        <v>22</v>
      </c>
      <c r="D113" s="3">
        <f t="shared" si="9"/>
        <v>25</v>
      </c>
      <c r="E113" s="15">
        <v>49.9</v>
      </c>
      <c r="F113" s="15">
        <v>1.3</v>
      </c>
      <c r="G113" s="15">
        <f t="shared" si="10"/>
        <v>48.6</v>
      </c>
      <c r="H113" s="4" t="s">
        <v>20</v>
      </c>
    </row>
    <row r="114" spans="1:8" x14ac:dyDescent="0.25">
      <c r="A114" t="s">
        <v>23</v>
      </c>
      <c r="B114" t="s">
        <v>65</v>
      </c>
      <c r="C114" s="4" t="s">
        <v>22</v>
      </c>
      <c r="D114" s="3">
        <f t="shared" si="9"/>
        <v>26</v>
      </c>
      <c r="E114" s="15">
        <v>44.8</v>
      </c>
      <c r="F114" s="15">
        <v>1.1000000000000001</v>
      </c>
      <c r="G114" s="15">
        <f t="shared" si="10"/>
        <v>43.699999999999996</v>
      </c>
      <c r="H114" s="4" t="s">
        <v>20</v>
      </c>
    </row>
    <row r="115" spans="1:8" x14ac:dyDescent="0.25">
      <c r="A115" t="s">
        <v>23</v>
      </c>
      <c r="B115" t="s">
        <v>65</v>
      </c>
      <c r="C115" s="4" t="s">
        <v>22</v>
      </c>
      <c r="D115" s="3">
        <f t="shared" si="9"/>
        <v>27</v>
      </c>
      <c r="E115" s="15">
        <v>44.2</v>
      </c>
      <c r="F115" s="15">
        <v>1.2</v>
      </c>
      <c r="G115" s="15">
        <f t="shared" ref="G115:G118" si="11">E115-F115</f>
        <v>43</v>
      </c>
      <c r="H115" s="4" t="s">
        <v>20</v>
      </c>
    </row>
    <row r="116" spans="1:8" x14ac:dyDescent="0.25">
      <c r="A116" t="s">
        <v>23</v>
      </c>
      <c r="B116" t="s">
        <v>65</v>
      </c>
      <c r="C116" s="4" t="s">
        <v>22</v>
      </c>
      <c r="D116" s="3">
        <f t="shared" si="9"/>
        <v>28</v>
      </c>
      <c r="E116" s="15">
        <v>48.8</v>
      </c>
      <c r="F116" s="15">
        <v>2.1</v>
      </c>
      <c r="G116" s="15">
        <f t="shared" si="11"/>
        <v>46.699999999999996</v>
      </c>
      <c r="H116" s="4" t="s">
        <v>20</v>
      </c>
    </row>
    <row r="117" spans="1:8" x14ac:dyDescent="0.25">
      <c r="A117" t="s">
        <v>23</v>
      </c>
      <c r="B117" t="s">
        <v>65</v>
      </c>
      <c r="C117" s="4" t="s">
        <v>22</v>
      </c>
      <c r="D117" s="3">
        <f t="shared" si="9"/>
        <v>29</v>
      </c>
      <c r="E117" s="15">
        <v>47.4</v>
      </c>
      <c r="F117" s="15">
        <v>1.7</v>
      </c>
      <c r="G117" s="15">
        <f t="shared" si="11"/>
        <v>45.699999999999996</v>
      </c>
      <c r="H117" s="4" t="s">
        <v>20</v>
      </c>
    </row>
    <row r="118" spans="1:8" ht="15.75" thickBot="1" x14ac:dyDescent="0.3">
      <c r="A118" t="s">
        <v>23</v>
      </c>
      <c r="B118" t="s">
        <v>65</v>
      </c>
      <c r="C118" s="4" t="s">
        <v>22</v>
      </c>
      <c r="D118" s="3">
        <f t="shared" si="9"/>
        <v>30</v>
      </c>
      <c r="E118" s="15">
        <v>43.4</v>
      </c>
      <c r="F118" s="15">
        <v>2.2000000000000002</v>
      </c>
      <c r="G118" s="15">
        <f t="shared" si="11"/>
        <v>41.199999999999996</v>
      </c>
      <c r="H118" s="4" t="s">
        <v>20</v>
      </c>
    </row>
    <row r="119" spans="1:8" ht="16.5" thickTop="1" thickBot="1" x14ac:dyDescent="0.3">
      <c r="A119" s="75" t="s">
        <v>27</v>
      </c>
      <c r="B119" s="75"/>
      <c r="C119" s="75"/>
      <c r="D119" s="12">
        <f>D118</f>
        <v>30</v>
      </c>
      <c r="E119" s="14">
        <f>SUM(E89:E118)</f>
        <v>1412.6000000000001</v>
      </c>
      <c r="F119" s="14">
        <f>SUM(F89:F118)</f>
        <v>48.70000000000001</v>
      </c>
      <c r="G119" s="14">
        <f>SUM(G89:G118)</f>
        <v>1363.9000000000005</v>
      </c>
      <c r="H119" s="13"/>
    </row>
    <row r="120" spans="1:8" ht="6.75" customHeight="1" thickTop="1" x14ac:dyDescent="0.25"/>
    <row r="121" spans="1:8" ht="15.75" thickBot="1" x14ac:dyDescent="0.3">
      <c r="A121" s="1" t="s">
        <v>29</v>
      </c>
    </row>
    <row r="122" spans="1:8" ht="31.5" thickTop="1" thickBot="1" x14ac:dyDescent="0.3">
      <c r="A122" s="9" t="s">
        <v>7</v>
      </c>
      <c r="B122" s="9" t="s">
        <v>2</v>
      </c>
      <c r="C122" s="10" t="s">
        <v>6</v>
      </c>
      <c r="D122" s="11" t="s">
        <v>30</v>
      </c>
      <c r="E122" s="11" t="s">
        <v>31</v>
      </c>
      <c r="F122" s="11" t="s">
        <v>32</v>
      </c>
      <c r="G122" s="11" t="s">
        <v>33</v>
      </c>
      <c r="H122" s="11" t="s">
        <v>37</v>
      </c>
    </row>
    <row r="123" spans="1:8" ht="16.5" thickTop="1" thickBot="1" x14ac:dyDescent="0.3">
      <c r="A123" t="s">
        <v>23</v>
      </c>
      <c r="B123" t="s">
        <v>65</v>
      </c>
      <c r="C123" s="4" t="s">
        <v>22</v>
      </c>
      <c r="D123" s="15">
        <v>896.3</v>
      </c>
      <c r="E123" s="15">
        <v>432.7</v>
      </c>
      <c r="F123" s="15">
        <v>20</v>
      </c>
      <c r="G123" s="15">
        <f>G119-(D123+E123+F123)</f>
        <v>14.900000000000546</v>
      </c>
      <c r="H123" s="15">
        <f>SUM(D123:G123)</f>
        <v>1363.9000000000005</v>
      </c>
    </row>
    <row r="124" spans="1:8" ht="16.5" thickTop="1" thickBot="1" x14ac:dyDescent="0.3">
      <c r="A124" s="77" t="s">
        <v>52</v>
      </c>
      <c r="B124" s="77"/>
      <c r="C124" s="77"/>
      <c r="D124" s="20">
        <f>D123/$G$119</f>
        <v>0.65715961580761029</v>
      </c>
      <c r="E124" s="23">
        <f>E123/$G$119</f>
        <v>0.31725199794706344</v>
      </c>
      <c r="F124" s="23">
        <f>F123/$G$119</f>
        <v>1.4663831659212546E-2</v>
      </c>
      <c r="G124" s="23">
        <f>G123/$G$119</f>
        <v>1.0924554586113747E-2</v>
      </c>
      <c r="H124" s="17">
        <f>SUM(D124:G124)</f>
        <v>1</v>
      </c>
    </row>
    <row r="125" spans="1:8" ht="15.75" thickTop="1" x14ac:dyDescent="0.25">
      <c r="A125" s="19" t="s">
        <v>16</v>
      </c>
    </row>
    <row r="126" spans="1:8" ht="11.25" customHeight="1" x14ac:dyDescent="0.25">
      <c r="A126" s="7" t="s">
        <v>36</v>
      </c>
    </row>
    <row r="127" spans="1:8" ht="11.25" customHeight="1" x14ac:dyDescent="0.25">
      <c r="A127" s="7" t="s">
        <v>35</v>
      </c>
    </row>
    <row r="128" spans="1:8" ht="11.25" customHeight="1" x14ac:dyDescent="0.25">
      <c r="A128" s="7" t="s">
        <v>34</v>
      </c>
    </row>
    <row r="129" spans="1:13" ht="11.25" customHeight="1" x14ac:dyDescent="0.25">
      <c r="A129" s="7" t="s">
        <v>50</v>
      </c>
    </row>
    <row r="130" spans="1:13" ht="6.75" customHeight="1" x14ac:dyDescent="0.25"/>
    <row r="131" spans="1:13" ht="15.75" thickBot="1" x14ac:dyDescent="0.3">
      <c r="A131" s="1" t="s">
        <v>56</v>
      </c>
      <c r="B131" s="1" t="s">
        <v>60</v>
      </c>
    </row>
    <row r="132" spans="1:13" ht="16.5" thickTop="1" thickBot="1" x14ac:dyDescent="0.3">
      <c r="A132" s="9" t="s">
        <v>7</v>
      </c>
      <c r="B132" s="9" t="s">
        <v>2</v>
      </c>
      <c r="C132" s="10" t="s">
        <v>6</v>
      </c>
      <c r="D132" s="10" t="s">
        <v>25</v>
      </c>
      <c r="E132" s="10" t="s">
        <v>3</v>
      </c>
      <c r="F132" s="10" t="s">
        <v>4</v>
      </c>
      <c r="G132" s="10" t="s">
        <v>5</v>
      </c>
      <c r="H132" s="11" t="s">
        <v>26</v>
      </c>
    </row>
    <row r="133" spans="1:13" ht="15.75" thickTop="1" x14ac:dyDescent="0.25">
      <c r="A133" t="s">
        <v>23</v>
      </c>
      <c r="B133" t="s">
        <v>62</v>
      </c>
      <c r="C133" s="4" t="s">
        <v>47</v>
      </c>
      <c r="D133" s="3">
        <v>1</v>
      </c>
      <c r="E133" s="15">
        <v>132.69999999999999</v>
      </c>
      <c r="F133" s="15">
        <v>15.4</v>
      </c>
      <c r="G133" s="15">
        <f>E133-F133</f>
        <v>117.29999999999998</v>
      </c>
      <c r="H133" s="4" t="s">
        <v>20</v>
      </c>
    </row>
    <row r="134" spans="1:13" x14ac:dyDescent="0.25">
      <c r="A134" t="s">
        <v>23</v>
      </c>
      <c r="B134" t="s">
        <v>62</v>
      </c>
      <c r="C134" s="4" t="s">
        <v>47</v>
      </c>
      <c r="D134" s="3">
        <f>D133+1</f>
        <v>2</v>
      </c>
      <c r="E134" s="15">
        <v>132.69999999999999</v>
      </c>
      <c r="F134" s="15">
        <v>15.7</v>
      </c>
      <c r="G134" s="15">
        <f t="shared" ref="G134:G138" si="12">E134-F134</f>
        <v>116.99999999999999</v>
      </c>
      <c r="H134" s="4" t="s">
        <v>20</v>
      </c>
    </row>
    <row r="135" spans="1:13" x14ac:dyDescent="0.25">
      <c r="A135" t="s">
        <v>23</v>
      </c>
      <c r="B135" t="s">
        <v>62</v>
      </c>
      <c r="C135" s="4" t="s">
        <v>47</v>
      </c>
      <c r="D135" s="3">
        <f t="shared" ref="D135:D138" si="13">D134+1</f>
        <v>3</v>
      </c>
      <c r="E135" s="15">
        <v>132.69999999999999</v>
      </c>
      <c r="F135" s="15">
        <v>15.5</v>
      </c>
      <c r="G135" s="15">
        <f t="shared" si="12"/>
        <v>117.19999999999999</v>
      </c>
      <c r="H135" s="4" t="s">
        <v>20</v>
      </c>
    </row>
    <row r="136" spans="1:13" x14ac:dyDescent="0.25">
      <c r="A136" t="s">
        <v>23</v>
      </c>
      <c r="B136" t="s">
        <v>62</v>
      </c>
      <c r="C136" s="4" t="s">
        <v>47</v>
      </c>
      <c r="D136" s="3">
        <f t="shared" si="13"/>
        <v>4</v>
      </c>
      <c r="E136" s="15">
        <v>132.69999999999999</v>
      </c>
      <c r="F136" s="15">
        <v>15.3</v>
      </c>
      <c r="G136" s="15">
        <f t="shared" si="12"/>
        <v>117.39999999999999</v>
      </c>
      <c r="H136" s="4" t="s">
        <v>20</v>
      </c>
    </row>
    <row r="137" spans="1:13" x14ac:dyDescent="0.25">
      <c r="A137" t="s">
        <v>23</v>
      </c>
      <c r="B137" t="s">
        <v>62</v>
      </c>
      <c r="C137" s="4" t="s">
        <v>47</v>
      </c>
      <c r="D137" s="3">
        <f t="shared" si="13"/>
        <v>5</v>
      </c>
      <c r="E137" s="15">
        <v>132.69999999999999</v>
      </c>
      <c r="F137" s="15">
        <v>15.5</v>
      </c>
      <c r="G137" s="15">
        <f t="shared" si="12"/>
        <v>117.19999999999999</v>
      </c>
      <c r="H137" s="4" t="s">
        <v>20</v>
      </c>
    </row>
    <row r="138" spans="1:13" ht="15.75" thickBot="1" x14ac:dyDescent="0.3">
      <c r="A138" t="s">
        <v>23</v>
      </c>
      <c r="B138" t="s">
        <v>62</v>
      </c>
      <c r="C138" s="4" t="s">
        <v>47</v>
      </c>
      <c r="D138" s="3">
        <f t="shared" si="13"/>
        <v>6</v>
      </c>
      <c r="E138" s="15">
        <v>132.69999999999999</v>
      </c>
      <c r="F138" s="15">
        <v>15.6</v>
      </c>
      <c r="G138" s="15">
        <f t="shared" si="12"/>
        <v>117.1</v>
      </c>
      <c r="H138" s="4" t="s">
        <v>20</v>
      </c>
    </row>
    <row r="139" spans="1:13" ht="16.5" thickTop="1" thickBot="1" x14ac:dyDescent="0.3">
      <c r="A139" s="75" t="s">
        <v>27</v>
      </c>
      <c r="B139" s="75"/>
      <c r="C139" s="75"/>
      <c r="D139" s="12">
        <f>D138</f>
        <v>6</v>
      </c>
      <c r="E139" s="14">
        <f>SUM(E133:E138)</f>
        <v>796.2</v>
      </c>
      <c r="F139" s="14">
        <f>SUM(F133:F138)</f>
        <v>93</v>
      </c>
      <c r="G139" s="14">
        <f>SUM(G133:G138)</f>
        <v>703.19999999999993</v>
      </c>
      <c r="H139" s="13"/>
    </row>
    <row r="140" spans="1:13" ht="3.75" customHeight="1" thickTop="1" x14ac:dyDescent="0.25"/>
    <row r="141" spans="1:13" ht="15.75" thickBot="1" x14ac:dyDescent="0.3">
      <c r="A141" s="1" t="s">
        <v>29</v>
      </c>
      <c r="M141" t="s">
        <v>66</v>
      </c>
    </row>
    <row r="142" spans="1:13" ht="31.5" thickTop="1" thickBot="1" x14ac:dyDescent="0.3">
      <c r="A142" s="9" t="s">
        <v>7</v>
      </c>
      <c r="B142" s="9" t="s">
        <v>2</v>
      </c>
      <c r="C142" s="10" t="s">
        <v>6</v>
      </c>
      <c r="D142" s="11" t="s">
        <v>30</v>
      </c>
      <c r="E142" s="11" t="s">
        <v>31</v>
      </c>
      <c r="F142" s="11" t="s">
        <v>32</v>
      </c>
      <c r="G142" s="11" t="s">
        <v>33</v>
      </c>
      <c r="H142" s="11" t="s">
        <v>37</v>
      </c>
    </row>
    <row r="143" spans="1:13" ht="16.5" thickTop="1" thickBot="1" x14ac:dyDescent="0.3">
      <c r="A143" t="s">
        <v>23</v>
      </c>
      <c r="B143" t="s">
        <v>62</v>
      </c>
      <c r="C143" s="3" t="str">
        <f>C138</f>
        <v>C-48</v>
      </c>
      <c r="D143" s="15">
        <v>380.5</v>
      </c>
      <c r="E143" s="15">
        <v>307.39999999999998</v>
      </c>
      <c r="F143" s="15">
        <v>8</v>
      </c>
      <c r="G143" s="18">
        <f>G139-(D143+E143+F143)</f>
        <v>7.2999999999999545</v>
      </c>
      <c r="H143" s="15">
        <f>SUM(D143:G143)</f>
        <v>703.19999999999993</v>
      </c>
    </row>
    <row r="144" spans="1:13" ht="16.5" thickTop="1" thickBot="1" x14ac:dyDescent="0.3">
      <c r="A144" s="77" t="s">
        <v>52</v>
      </c>
      <c r="B144" s="77"/>
      <c r="C144" s="77"/>
      <c r="D144" s="20">
        <f>D143/$G$139</f>
        <v>0.54109783845278736</v>
      </c>
      <c r="E144" s="20">
        <f>E143/$G$139</f>
        <v>0.43714448236632536</v>
      </c>
      <c r="F144" s="20">
        <f t="shared" ref="F144:G144" si="14">F143/$G$139</f>
        <v>1.137656427758817E-2</v>
      </c>
      <c r="G144" s="20">
        <f t="shared" si="14"/>
        <v>1.0381114903299141E-2</v>
      </c>
      <c r="H144" s="17">
        <f>SUM(D144:G144)</f>
        <v>1</v>
      </c>
    </row>
    <row r="145" spans="1:1" ht="15.75" thickTop="1" x14ac:dyDescent="0.25">
      <c r="A145" s="19" t="s">
        <v>16</v>
      </c>
    </row>
    <row r="146" spans="1:1" ht="12.75" customHeight="1" x14ac:dyDescent="0.25">
      <c r="A146" s="7" t="s">
        <v>36</v>
      </c>
    </row>
    <row r="147" spans="1:1" ht="12.75" customHeight="1" x14ac:dyDescent="0.25">
      <c r="A147" s="7" t="s">
        <v>35</v>
      </c>
    </row>
    <row r="148" spans="1:1" ht="12.75" customHeight="1" x14ac:dyDescent="0.25">
      <c r="A148" s="7" t="s">
        <v>34</v>
      </c>
    </row>
    <row r="149" spans="1:1" ht="12.75" customHeight="1" x14ac:dyDescent="0.25">
      <c r="A149" s="7" t="s">
        <v>50</v>
      </c>
    </row>
  </sheetData>
  <mergeCells count="10">
    <mergeCell ref="A139:C139"/>
    <mergeCell ref="A144:C144"/>
    <mergeCell ref="A119:C119"/>
    <mergeCell ref="A124:C124"/>
    <mergeCell ref="A1:H1"/>
    <mergeCell ref="A18:H18"/>
    <mergeCell ref="A38:C38"/>
    <mergeCell ref="A43:C43"/>
    <mergeCell ref="A75:C75"/>
    <mergeCell ref="A80:C80"/>
  </mergeCells>
  <pageMargins left="0" right="0" top="0" bottom="0" header="0" footer="0"/>
  <pageSetup paperSize="346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FFA9-5170-4CD0-AA2F-D22473658C7D}">
  <sheetPr>
    <tabColor rgb="FF00B050"/>
  </sheetPr>
  <dimension ref="A1:N166"/>
  <sheetViews>
    <sheetView showGridLines="0" topLeftCell="A136" workbookViewId="0">
      <selection activeCell="A6" sqref="A6:XFD11"/>
    </sheetView>
  </sheetViews>
  <sheetFormatPr defaultRowHeight="15" x14ac:dyDescent="0.25"/>
  <cols>
    <col min="1" max="1" width="17.42578125" customWidth="1"/>
    <col min="2" max="2" width="15" customWidth="1"/>
    <col min="3" max="3" width="11.7109375" customWidth="1"/>
    <col min="4" max="4" width="10.28515625" style="3" customWidth="1"/>
    <col min="5" max="5" width="10.42578125" customWidth="1"/>
    <col min="6" max="6" width="10.5703125" bestFit="1" customWidth="1"/>
    <col min="7" max="7" width="14.85546875" customWidth="1"/>
    <col min="8" max="8" width="13.42578125" customWidth="1"/>
    <col min="10" max="10" width="9.140625" style="3" hidden="1" customWidth="1"/>
    <col min="11" max="11" width="9.140625" style="4" hidden="1" customWidth="1"/>
    <col min="12" max="13" width="9.140625" hidden="1" customWidth="1"/>
    <col min="14" max="14" width="43.28515625" hidden="1" customWidth="1"/>
  </cols>
  <sheetData>
    <row r="1" spans="1:14" ht="21" x14ac:dyDescent="0.35">
      <c r="A1" s="71" t="s">
        <v>51</v>
      </c>
      <c r="B1" s="71"/>
      <c r="C1" s="71"/>
      <c r="D1" s="71"/>
      <c r="E1" s="71"/>
      <c r="F1" s="71"/>
      <c r="G1" s="71"/>
      <c r="H1" s="71"/>
    </row>
    <row r="3" spans="1:14" x14ac:dyDescent="0.25">
      <c r="A3" s="8" t="s">
        <v>63</v>
      </c>
    </row>
    <row r="4" spans="1:14" x14ac:dyDescent="0.25">
      <c r="A4" s="1" t="s">
        <v>0</v>
      </c>
      <c r="B4" t="s">
        <v>49</v>
      </c>
      <c r="G4" s="22" t="s">
        <v>58</v>
      </c>
      <c r="H4" s="21">
        <v>46188</v>
      </c>
    </row>
    <row r="5" spans="1:14" ht="4.5" customHeight="1" thickBot="1" x14ac:dyDescent="0.3"/>
    <row r="6" spans="1:14" ht="31.5" customHeight="1" thickTop="1" thickBot="1" x14ac:dyDescent="0.3">
      <c r="A6" s="9" t="s">
        <v>7</v>
      </c>
      <c r="B6" s="9" t="s">
        <v>2</v>
      </c>
      <c r="C6" s="10" t="s">
        <v>6</v>
      </c>
      <c r="D6" s="10" t="s">
        <v>3</v>
      </c>
      <c r="E6" s="10" t="s">
        <v>4</v>
      </c>
      <c r="F6" s="10" t="s">
        <v>5</v>
      </c>
      <c r="G6" s="10" t="s">
        <v>15</v>
      </c>
      <c r="H6" s="11" t="s">
        <v>19</v>
      </c>
      <c r="I6" s="2"/>
      <c r="L6" s="29" t="s">
        <v>92</v>
      </c>
      <c r="M6" s="29" t="s">
        <v>93</v>
      </c>
      <c r="N6" s="30" t="s">
        <v>94</v>
      </c>
    </row>
    <row r="7" spans="1:14" ht="15.75" thickTop="1" x14ac:dyDescent="0.25">
      <c r="A7" s="5" t="s">
        <v>1</v>
      </c>
      <c r="B7" s="5" t="s">
        <v>41</v>
      </c>
      <c r="C7" s="4" t="s">
        <v>22</v>
      </c>
      <c r="D7" s="15">
        <v>1221</v>
      </c>
      <c r="E7" s="15">
        <v>39.800000000000011</v>
      </c>
      <c r="F7" s="15">
        <f>D7-E7</f>
        <v>1181.2</v>
      </c>
      <c r="G7" s="6">
        <v>46183</v>
      </c>
      <c r="H7" s="6" t="s">
        <v>20</v>
      </c>
      <c r="J7" s="3">
        <v>25</v>
      </c>
      <c r="K7" s="4">
        <f>(28*30)+32.9</f>
        <v>872.9</v>
      </c>
      <c r="L7" s="4">
        <v>786.6</v>
      </c>
      <c r="M7" s="4">
        <f>K7-L7</f>
        <v>86.299999999999955</v>
      </c>
      <c r="N7" s="5" t="s">
        <v>95</v>
      </c>
    </row>
    <row r="8" spans="1:14" x14ac:dyDescent="0.25">
      <c r="A8" s="5" t="s">
        <v>1</v>
      </c>
      <c r="B8" s="5" t="s">
        <v>39</v>
      </c>
      <c r="C8" s="4" t="s">
        <v>22</v>
      </c>
      <c r="D8" s="15">
        <v>785.3</v>
      </c>
      <c r="E8" s="15">
        <v>22.4</v>
      </c>
      <c r="F8" s="15">
        <f t="shared" ref="F8:F11" si="0">D8-E8</f>
        <v>762.9</v>
      </c>
      <c r="G8" s="6">
        <v>46183</v>
      </c>
      <c r="H8" s="6" t="s">
        <v>20</v>
      </c>
      <c r="J8" s="3">
        <v>17</v>
      </c>
      <c r="K8" s="4">
        <f>23*30</f>
        <v>690</v>
      </c>
      <c r="L8" s="4">
        <v>527.70000000000005</v>
      </c>
      <c r="M8" s="4">
        <f>K8-L8</f>
        <v>162.29999999999995</v>
      </c>
      <c r="N8" t="s">
        <v>96</v>
      </c>
    </row>
    <row r="9" spans="1:14" x14ac:dyDescent="0.25">
      <c r="A9" s="5" t="s">
        <v>1</v>
      </c>
      <c r="B9" s="5" t="s">
        <v>62</v>
      </c>
      <c r="C9" s="4" t="s">
        <v>90</v>
      </c>
      <c r="D9" s="15">
        <v>370.1</v>
      </c>
      <c r="E9" s="15">
        <v>3.0000000000000004</v>
      </c>
      <c r="F9" s="15">
        <f t="shared" si="0"/>
        <v>367.1</v>
      </c>
      <c r="G9" s="6">
        <v>46183</v>
      </c>
      <c r="H9" s="6" t="s">
        <v>20</v>
      </c>
      <c r="J9" s="3">
        <v>15</v>
      </c>
      <c r="K9" s="4">
        <f>(5*40)+22.7</f>
        <v>222.7</v>
      </c>
      <c r="L9" s="4"/>
    </row>
    <row r="10" spans="1:14" x14ac:dyDescent="0.25">
      <c r="A10" s="5" t="s">
        <v>1</v>
      </c>
      <c r="B10" s="5" t="s">
        <v>88</v>
      </c>
      <c r="C10" s="4" t="s">
        <v>22</v>
      </c>
      <c r="D10" s="15">
        <v>505.5</v>
      </c>
      <c r="E10" s="15">
        <v>11.799999999999999</v>
      </c>
      <c r="F10" s="15">
        <f t="shared" ref="F10" si="1">D10-E10</f>
        <v>493.7</v>
      </c>
      <c r="G10" s="6">
        <v>46183</v>
      </c>
      <c r="H10" s="6" t="s">
        <v>20</v>
      </c>
      <c r="J10" s="3">
        <v>10</v>
      </c>
    </row>
    <row r="11" spans="1:14" x14ac:dyDescent="0.25">
      <c r="A11" s="5" t="s">
        <v>1</v>
      </c>
      <c r="B11" s="5" t="s">
        <v>80</v>
      </c>
      <c r="C11" s="4" t="s">
        <v>22</v>
      </c>
      <c r="D11" s="15">
        <v>500.4</v>
      </c>
      <c r="E11" s="15">
        <v>11.399999999999999</v>
      </c>
      <c r="F11" s="15">
        <f t="shared" si="0"/>
        <v>489</v>
      </c>
      <c r="G11" s="6">
        <v>46183</v>
      </c>
      <c r="H11" s="6" t="s">
        <v>20</v>
      </c>
      <c r="J11" s="3">
        <v>10</v>
      </c>
      <c r="K11" s="4">
        <f>(1*25)+9.7</f>
        <v>34.700000000000003</v>
      </c>
    </row>
    <row r="12" spans="1:14" ht="4.5" customHeight="1" x14ac:dyDescent="0.25"/>
    <row r="13" spans="1:14" x14ac:dyDescent="0.25">
      <c r="A13" s="19" t="s">
        <v>16</v>
      </c>
      <c r="D13" s="18"/>
      <c r="F13" s="18"/>
    </row>
    <row r="14" spans="1:14" ht="10.5" customHeight="1" x14ac:dyDescent="0.25">
      <c r="A14" s="7" t="s">
        <v>98</v>
      </c>
    </row>
    <row r="15" spans="1:14" ht="12.75" customHeight="1" x14ac:dyDescent="0.25">
      <c r="A15" s="7" t="s">
        <v>17</v>
      </c>
    </row>
    <row r="16" spans="1:14" ht="5.25" customHeight="1" x14ac:dyDescent="0.25"/>
    <row r="17" spans="1:8" x14ac:dyDescent="0.25">
      <c r="A17" s="72" t="s">
        <v>28</v>
      </c>
      <c r="B17" s="72"/>
      <c r="C17" s="72"/>
      <c r="D17" s="72"/>
      <c r="E17" s="72"/>
      <c r="F17" s="72"/>
      <c r="G17" s="72"/>
      <c r="H17" s="72"/>
    </row>
    <row r="18" spans="1:8" ht="23.25" customHeight="1" thickBot="1" x14ac:dyDescent="0.3">
      <c r="A18" s="1" t="s">
        <v>53</v>
      </c>
      <c r="B18" s="1" t="s">
        <v>89</v>
      </c>
    </row>
    <row r="19" spans="1:8" ht="16.5" thickTop="1" thickBot="1" x14ac:dyDescent="0.3">
      <c r="A19" s="9" t="s">
        <v>7</v>
      </c>
      <c r="B19" s="9" t="s">
        <v>2</v>
      </c>
      <c r="C19" s="10" t="s">
        <v>6</v>
      </c>
      <c r="D19" s="10" t="s">
        <v>25</v>
      </c>
      <c r="E19" s="10" t="s">
        <v>3</v>
      </c>
      <c r="F19" s="10" t="s">
        <v>4</v>
      </c>
      <c r="G19" s="10" t="s">
        <v>5</v>
      </c>
      <c r="H19" s="11" t="s">
        <v>26</v>
      </c>
    </row>
    <row r="20" spans="1:8" ht="15.75" thickTop="1" x14ac:dyDescent="0.25">
      <c r="A20" t="s">
        <v>23</v>
      </c>
      <c r="B20" t="s">
        <v>41</v>
      </c>
      <c r="C20" s="4" t="s">
        <v>22</v>
      </c>
      <c r="D20" s="3">
        <v>1</v>
      </c>
      <c r="E20" s="15">
        <v>46.6</v>
      </c>
      <c r="F20" s="15">
        <v>2</v>
      </c>
      <c r="G20" s="15">
        <f>E20-F20</f>
        <v>44.6</v>
      </c>
      <c r="H20" s="4" t="s">
        <v>20</v>
      </c>
    </row>
    <row r="21" spans="1:8" x14ac:dyDescent="0.25">
      <c r="A21" t="s">
        <v>23</v>
      </c>
      <c r="B21" t="s">
        <v>41</v>
      </c>
      <c r="C21" s="4" t="s">
        <v>22</v>
      </c>
      <c r="D21" s="3">
        <f>D20+1</f>
        <v>2</v>
      </c>
      <c r="E21" s="15">
        <v>46.8</v>
      </c>
      <c r="F21" s="15">
        <v>1.7</v>
      </c>
      <c r="G21" s="15">
        <f t="shared" ref="G21:G24" si="2">E21-F21</f>
        <v>45.099999999999994</v>
      </c>
      <c r="H21" s="4" t="s">
        <v>20</v>
      </c>
    </row>
    <row r="22" spans="1:8" x14ac:dyDescent="0.25">
      <c r="A22" t="s">
        <v>23</v>
      </c>
      <c r="B22" t="s">
        <v>41</v>
      </c>
      <c r="C22" s="4" t="s">
        <v>22</v>
      </c>
      <c r="D22" s="3">
        <f t="shared" ref="D22:D46" si="3">D21+1</f>
        <v>3</v>
      </c>
      <c r="E22" s="15">
        <v>48.4</v>
      </c>
      <c r="F22" s="15">
        <v>1.5</v>
      </c>
      <c r="G22" s="15">
        <f t="shared" si="2"/>
        <v>46.9</v>
      </c>
      <c r="H22" s="4" t="s">
        <v>20</v>
      </c>
    </row>
    <row r="23" spans="1:8" x14ac:dyDescent="0.25">
      <c r="A23" t="s">
        <v>23</v>
      </c>
      <c r="B23" t="s">
        <v>41</v>
      </c>
      <c r="C23" s="4" t="s">
        <v>22</v>
      </c>
      <c r="D23" s="3">
        <f t="shared" si="3"/>
        <v>4</v>
      </c>
      <c r="E23" s="15">
        <v>47.9</v>
      </c>
      <c r="F23" s="15">
        <v>1.4</v>
      </c>
      <c r="G23" s="15">
        <f t="shared" si="2"/>
        <v>46.5</v>
      </c>
      <c r="H23" s="4" t="s">
        <v>20</v>
      </c>
    </row>
    <row r="24" spans="1:8" x14ac:dyDescent="0.25">
      <c r="A24" t="s">
        <v>23</v>
      </c>
      <c r="B24" t="s">
        <v>41</v>
      </c>
      <c r="C24" s="4" t="s">
        <v>22</v>
      </c>
      <c r="D24" s="3">
        <f t="shared" si="3"/>
        <v>5</v>
      </c>
      <c r="E24" s="15">
        <v>44.4</v>
      </c>
      <c r="F24" s="15">
        <v>1.5</v>
      </c>
      <c r="G24" s="15">
        <f t="shared" si="2"/>
        <v>42.9</v>
      </c>
      <c r="H24" s="4" t="s">
        <v>20</v>
      </c>
    </row>
    <row r="25" spans="1:8" x14ac:dyDescent="0.25">
      <c r="A25" t="s">
        <v>23</v>
      </c>
      <c r="B25" t="s">
        <v>41</v>
      </c>
      <c r="C25" s="4" t="s">
        <v>22</v>
      </c>
      <c r="D25" s="3">
        <f t="shared" si="3"/>
        <v>6</v>
      </c>
      <c r="E25" s="15">
        <v>48.8</v>
      </c>
      <c r="F25" s="15">
        <v>1.6</v>
      </c>
      <c r="G25" s="15">
        <f t="shared" ref="G25:G46" si="4">E25-F25</f>
        <v>47.199999999999996</v>
      </c>
      <c r="H25" s="4" t="s">
        <v>20</v>
      </c>
    </row>
    <row r="26" spans="1:8" x14ac:dyDescent="0.25">
      <c r="A26" t="s">
        <v>23</v>
      </c>
      <c r="B26" t="s">
        <v>41</v>
      </c>
      <c r="C26" s="4" t="s">
        <v>22</v>
      </c>
      <c r="D26" s="3">
        <f t="shared" si="3"/>
        <v>7</v>
      </c>
      <c r="E26" s="15">
        <v>47.3</v>
      </c>
      <c r="F26" s="15">
        <v>1.5</v>
      </c>
      <c r="G26" s="15">
        <f t="shared" si="4"/>
        <v>45.8</v>
      </c>
      <c r="H26" s="4" t="s">
        <v>20</v>
      </c>
    </row>
    <row r="27" spans="1:8" x14ac:dyDescent="0.25">
      <c r="A27" t="s">
        <v>23</v>
      </c>
      <c r="B27" t="s">
        <v>41</v>
      </c>
      <c r="C27" s="4" t="s">
        <v>22</v>
      </c>
      <c r="D27" s="3">
        <f t="shared" si="3"/>
        <v>8</v>
      </c>
      <c r="E27" s="15">
        <v>49.6</v>
      </c>
      <c r="F27" s="15">
        <v>1.3</v>
      </c>
      <c r="G27" s="15">
        <f t="shared" si="4"/>
        <v>48.300000000000004</v>
      </c>
      <c r="H27" s="4" t="s">
        <v>20</v>
      </c>
    </row>
    <row r="28" spans="1:8" x14ac:dyDescent="0.25">
      <c r="A28" t="s">
        <v>23</v>
      </c>
      <c r="B28" t="s">
        <v>41</v>
      </c>
      <c r="C28" s="4" t="s">
        <v>22</v>
      </c>
      <c r="D28" s="3">
        <f t="shared" si="3"/>
        <v>9</v>
      </c>
      <c r="E28" s="15">
        <v>44</v>
      </c>
      <c r="F28" s="15">
        <v>1.5</v>
      </c>
      <c r="G28" s="15">
        <f t="shared" si="4"/>
        <v>42.5</v>
      </c>
      <c r="H28" s="4" t="s">
        <v>20</v>
      </c>
    </row>
    <row r="29" spans="1:8" x14ac:dyDescent="0.25">
      <c r="A29" t="s">
        <v>23</v>
      </c>
      <c r="B29" t="s">
        <v>41</v>
      </c>
      <c r="C29" s="4" t="s">
        <v>22</v>
      </c>
      <c r="D29" s="3">
        <f t="shared" si="3"/>
        <v>10</v>
      </c>
      <c r="E29" s="15">
        <v>43.9</v>
      </c>
      <c r="F29" s="15">
        <v>1.6</v>
      </c>
      <c r="G29" s="15">
        <f t="shared" si="4"/>
        <v>42.3</v>
      </c>
      <c r="H29" s="4" t="s">
        <v>20</v>
      </c>
    </row>
    <row r="30" spans="1:8" x14ac:dyDescent="0.25">
      <c r="A30" t="s">
        <v>23</v>
      </c>
      <c r="B30" t="s">
        <v>41</v>
      </c>
      <c r="C30" s="4" t="s">
        <v>22</v>
      </c>
      <c r="D30" s="3">
        <f t="shared" si="3"/>
        <v>11</v>
      </c>
      <c r="E30" s="15">
        <v>43.2</v>
      </c>
      <c r="F30" s="15">
        <v>1.4</v>
      </c>
      <c r="G30" s="15">
        <f t="shared" si="4"/>
        <v>41.800000000000004</v>
      </c>
      <c r="H30" s="4" t="s">
        <v>20</v>
      </c>
    </row>
    <row r="31" spans="1:8" x14ac:dyDescent="0.25">
      <c r="A31" t="s">
        <v>23</v>
      </c>
      <c r="B31" t="s">
        <v>41</v>
      </c>
      <c r="C31" s="4" t="s">
        <v>22</v>
      </c>
      <c r="D31" s="3">
        <f t="shared" si="3"/>
        <v>12</v>
      </c>
      <c r="E31" s="15">
        <v>49.2</v>
      </c>
      <c r="F31" s="15">
        <v>1.5</v>
      </c>
      <c r="G31" s="15">
        <f t="shared" si="4"/>
        <v>47.7</v>
      </c>
      <c r="H31" s="4" t="s">
        <v>20</v>
      </c>
    </row>
    <row r="32" spans="1:8" x14ac:dyDescent="0.25">
      <c r="A32" t="s">
        <v>23</v>
      </c>
      <c r="B32" t="s">
        <v>41</v>
      </c>
      <c r="C32" s="4" t="s">
        <v>22</v>
      </c>
      <c r="D32" s="3">
        <f t="shared" si="3"/>
        <v>13</v>
      </c>
      <c r="E32" s="15">
        <v>44.9</v>
      </c>
      <c r="F32" s="15">
        <v>1.5</v>
      </c>
      <c r="G32" s="15">
        <f t="shared" si="4"/>
        <v>43.4</v>
      </c>
      <c r="H32" s="4" t="s">
        <v>20</v>
      </c>
    </row>
    <row r="33" spans="1:8" x14ac:dyDescent="0.25">
      <c r="A33" t="s">
        <v>23</v>
      </c>
      <c r="B33" t="s">
        <v>41</v>
      </c>
      <c r="C33" s="4" t="s">
        <v>22</v>
      </c>
      <c r="D33" s="3">
        <f t="shared" si="3"/>
        <v>14</v>
      </c>
      <c r="E33" s="15">
        <v>46.9</v>
      </c>
      <c r="F33" s="15">
        <v>2</v>
      </c>
      <c r="G33" s="15">
        <f t="shared" si="4"/>
        <v>44.9</v>
      </c>
      <c r="H33" s="4" t="s">
        <v>20</v>
      </c>
    </row>
    <row r="34" spans="1:8" x14ac:dyDescent="0.25">
      <c r="A34" t="s">
        <v>23</v>
      </c>
      <c r="B34" t="s">
        <v>41</v>
      </c>
      <c r="C34" s="4" t="s">
        <v>22</v>
      </c>
      <c r="D34" s="3">
        <f t="shared" si="3"/>
        <v>15</v>
      </c>
      <c r="E34" s="15">
        <v>48.7</v>
      </c>
      <c r="F34" s="15">
        <v>1.5</v>
      </c>
      <c r="G34" s="15">
        <f t="shared" si="4"/>
        <v>47.2</v>
      </c>
      <c r="H34" s="4" t="s">
        <v>20</v>
      </c>
    </row>
    <row r="35" spans="1:8" x14ac:dyDescent="0.25">
      <c r="A35" t="s">
        <v>23</v>
      </c>
      <c r="B35" t="s">
        <v>41</v>
      </c>
      <c r="C35" s="4" t="s">
        <v>22</v>
      </c>
      <c r="D35" s="3">
        <f t="shared" si="3"/>
        <v>16</v>
      </c>
      <c r="E35" s="15">
        <v>49</v>
      </c>
      <c r="F35" s="15">
        <v>1.3</v>
      </c>
      <c r="G35" s="15">
        <f t="shared" si="4"/>
        <v>47.7</v>
      </c>
      <c r="H35" s="4" t="s">
        <v>20</v>
      </c>
    </row>
    <row r="36" spans="1:8" x14ac:dyDescent="0.25">
      <c r="A36" t="s">
        <v>23</v>
      </c>
      <c r="B36" t="s">
        <v>41</v>
      </c>
      <c r="C36" s="4" t="s">
        <v>22</v>
      </c>
      <c r="D36" s="3">
        <f t="shared" si="3"/>
        <v>17</v>
      </c>
      <c r="E36" s="15">
        <v>45</v>
      </c>
      <c r="F36" s="15">
        <v>1.7</v>
      </c>
      <c r="G36" s="15">
        <f t="shared" si="4"/>
        <v>43.3</v>
      </c>
      <c r="H36" s="4" t="s">
        <v>20</v>
      </c>
    </row>
    <row r="37" spans="1:8" x14ac:dyDescent="0.25">
      <c r="A37" t="s">
        <v>23</v>
      </c>
      <c r="B37" t="s">
        <v>41</v>
      </c>
      <c r="C37" s="4" t="s">
        <v>22</v>
      </c>
      <c r="D37" s="3">
        <f t="shared" si="3"/>
        <v>18</v>
      </c>
      <c r="E37" s="15">
        <v>37.5</v>
      </c>
      <c r="F37" s="15">
        <v>1.6</v>
      </c>
      <c r="G37" s="15">
        <f t="shared" si="4"/>
        <v>35.9</v>
      </c>
      <c r="H37" s="4" t="s">
        <v>20</v>
      </c>
    </row>
    <row r="38" spans="1:8" x14ac:dyDescent="0.25">
      <c r="A38" t="s">
        <v>23</v>
      </c>
      <c r="B38" t="s">
        <v>41</v>
      </c>
      <c r="C38" s="4" t="s">
        <v>22</v>
      </c>
      <c r="D38" s="3">
        <f t="shared" si="3"/>
        <v>19</v>
      </c>
      <c r="E38" s="15">
        <v>50.6</v>
      </c>
      <c r="F38" s="15">
        <v>1.6</v>
      </c>
      <c r="G38" s="15">
        <f t="shared" si="4"/>
        <v>49</v>
      </c>
      <c r="H38" s="4" t="s">
        <v>20</v>
      </c>
    </row>
    <row r="39" spans="1:8" x14ac:dyDescent="0.25">
      <c r="A39" t="s">
        <v>23</v>
      </c>
      <c r="B39" t="s">
        <v>41</v>
      </c>
      <c r="C39" s="4" t="s">
        <v>22</v>
      </c>
      <c r="D39" s="3">
        <f t="shared" si="3"/>
        <v>20</v>
      </c>
      <c r="E39" s="15">
        <v>43.9</v>
      </c>
      <c r="F39" s="15">
        <v>1.8</v>
      </c>
      <c r="G39" s="15">
        <f t="shared" si="4"/>
        <v>42.1</v>
      </c>
      <c r="H39" s="4" t="s">
        <v>20</v>
      </c>
    </row>
    <row r="40" spans="1:8" x14ac:dyDescent="0.25">
      <c r="A40" t="s">
        <v>23</v>
      </c>
      <c r="B40" t="s">
        <v>41</v>
      </c>
      <c r="C40" s="4" t="s">
        <v>22</v>
      </c>
      <c r="D40" s="3">
        <f t="shared" si="3"/>
        <v>21</v>
      </c>
      <c r="E40" s="15">
        <v>51.2</v>
      </c>
      <c r="F40" s="15">
        <v>1.4</v>
      </c>
      <c r="G40" s="15">
        <f t="shared" si="4"/>
        <v>49.800000000000004</v>
      </c>
      <c r="H40" s="4" t="s">
        <v>20</v>
      </c>
    </row>
    <row r="41" spans="1:8" x14ac:dyDescent="0.25">
      <c r="A41" t="s">
        <v>23</v>
      </c>
      <c r="B41" t="s">
        <v>41</v>
      </c>
      <c r="C41" s="4" t="s">
        <v>22</v>
      </c>
      <c r="D41" s="3">
        <f t="shared" si="3"/>
        <v>22</v>
      </c>
      <c r="E41" s="15">
        <v>37.6</v>
      </c>
      <c r="F41" s="15">
        <v>2.1</v>
      </c>
      <c r="G41" s="15">
        <f t="shared" si="4"/>
        <v>35.5</v>
      </c>
      <c r="H41" s="4" t="s">
        <v>20</v>
      </c>
    </row>
    <row r="42" spans="1:8" x14ac:dyDescent="0.25">
      <c r="A42" t="s">
        <v>23</v>
      </c>
      <c r="B42" t="s">
        <v>41</v>
      </c>
      <c r="C42" s="4" t="s">
        <v>22</v>
      </c>
      <c r="D42" s="3">
        <f t="shared" si="3"/>
        <v>23</v>
      </c>
      <c r="E42" s="15">
        <v>50.8</v>
      </c>
      <c r="F42" s="15">
        <v>1.4</v>
      </c>
      <c r="G42" s="15">
        <f t="shared" si="4"/>
        <v>49.4</v>
      </c>
      <c r="H42" s="4" t="s">
        <v>20</v>
      </c>
    </row>
    <row r="43" spans="1:8" x14ac:dyDescent="0.25">
      <c r="A43" t="s">
        <v>23</v>
      </c>
      <c r="B43" t="s">
        <v>41</v>
      </c>
      <c r="C43" s="4" t="s">
        <v>22</v>
      </c>
      <c r="D43" s="3">
        <f t="shared" si="3"/>
        <v>24</v>
      </c>
      <c r="E43" s="15">
        <v>48</v>
      </c>
      <c r="F43" s="15">
        <v>1.7</v>
      </c>
      <c r="G43" s="15">
        <f t="shared" si="4"/>
        <v>46.3</v>
      </c>
      <c r="H43" s="4" t="s">
        <v>20</v>
      </c>
    </row>
    <row r="44" spans="1:8" x14ac:dyDescent="0.25">
      <c r="A44" t="s">
        <v>23</v>
      </c>
      <c r="B44" t="s">
        <v>41</v>
      </c>
      <c r="C44" s="4" t="s">
        <v>22</v>
      </c>
      <c r="D44" s="3">
        <f t="shared" si="3"/>
        <v>25</v>
      </c>
      <c r="E44" s="15">
        <v>48.9</v>
      </c>
      <c r="F44" s="15">
        <v>1.3</v>
      </c>
      <c r="G44" s="15">
        <f t="shared" ref="G44:G45" si="5">E44-F44</f>
        <v>47.6</v>
      </c>
      <c r="H44" s="4" t="s">
        <v>20</v>
      </c>
    </row>
    <row r="45" spans="1:8" x14ac:dyDescent="0.25">
      <c r="A45" t="s">
        <v>23</v>
      </c>
      <c r="B45" t="s">
        <v>41</v>
      </c>
      <c r="C45" s="4" t="s">
        <v>22</v>
      </c>
      <c r="D45" s="3">
        <f t="shared" si="3"/>
        <v>26</v>
      </c>
      <c r="E45" s="15">
        <v>13</v>
      </c>
      <c r="F45" s="15">
        <v>0.2</v>
      </c>
      <c r="G45" s="15">
        <f t="shared" si="5"/>
        <v>12.8</v>
      </c>
      <c r="H45" s="4" t="s">
        <v>42</v>
      </c>
    </row>
    <row r="46" spans="1:8" ht="15.75" thickBot="1" x14ac:dyDescent="0.3">
      <c r="A46" t="s">
        <v>23</v>
      </c>
      <c r="B46" t="s">
        <v>41</v>
      </c>
      <c r="C46" s="4" t="s">
        <v>22</v>
      </c>
      <c r="D46" s="3">
        <f t="shared" si="3"/>
        <v>27</v>
      </c>
      <c r="E46" s="15">
        <v>16.899999999999999</v>
      </c>
      <c r="F46" s="15">
        <v>0.2</v>
      </c>
      <c r="G46" s="15">
        <f t="shared" si="4"/>
        <v>16.7</v>
      </c>
      <c r="H46" s="4" t="s">
        <v>42</v>
      </c>
    </row>
    <row r="47" spans="1:8" ht="16.5" thickTop="1" thickBot="1" x14ac:dyDescent="0.3">
      <c r="A47" s="75" t="s">
        <v>27</v>
      </c>
      <c r="B47" s="75"/>
      <c r="C47" s="75"/>
      <c r="D47" s="12">
        <f>D46</f>
        <v>27</v>
      </c>
      <c r="E47" s="14">
        <f>SUM(E20:E46)</f>
        <v>1193.0000000000002</v>
      </c>
      <c r="F47" s="14">
        <f>SUM(F20:F46)</f>
        <v>39.800000000000011</v>
      </c>
      <c r="G47" s="14">
        <f>SUM(G20:G46)</f>
        <v>1153.1999999999998</v>
      </c>
      <c r="H47" s="13"/>
    </row>
    <row r="48" spans="1:8" ht="6.75" customHeight="1" thickTop="1" x14ac:dyDescent="0.25"/>
    <row r="49" spans="1:8" ht="15.75" thickBot="1" x14ac:dyDescent="0.3">
      <c r="A49" s="1" t="s">
        <v>29</v>
      </c>
    </row>
    <row r="50" spans="1:8" ht="30" customHeight="1" thickTop="1" thickBot="1" x14ac:dyDescent="0.3">
      <c r="A50" s="9" t="s">
        <v>7</v>
      </c>
      <c r="B50" s="9" t="s">
        <v>2</v>
      </c>
      <c r="C50" s="10" t="s">
        <v>6</v>
      </c>
      <c r="D50" s="11" t="s">
        <v>30</v>
      </c>
      <c r="E50" s="11" t="s">
        <v>31</v>
      </c>
      <c r="F50" s="11" t="s">
        <v>32</v>
      </c>
      <c r="G50" s="11" t="s">
        <v>33</v>
      </c>
      <c r="H50" s="11" t="s">
        <v>37</v>
      </c>
    </row>
    <row r="51" spans="1:8" ht="16.5" thickTop="1" thickBot="1" x14ac:dyDescent="0.3">
      <c r="A51" t="s">
        <v>23</v>
      </c>
      <c r="B51" t="str">
        <f>B46</f>
        <v>LOMBOK '24</v>
      </c>
      <c r="C51" s="3" t="s">
        <v>22</v>
      </c>
      <c r="D51" s="28">
        <v>786.6</v>
      </c>
      <c r="E51" s="28">
        <v>345.3</v>
      </c>
      <c r="F51" s="28">
        <v>12.5</v>
      </c>
      <c r="G51" s="15">
        <f>G47-(D51+E51+F51)</f>
        <v>8.7999999999997272</v>
      </c>
      <c r="H51" s="15">
        <f>SUM(D51:G51)</f>
        <v>1153.1999999999998</v>
      </c>
    </row>
    <row r="52" spans="1:8" ht="16.5" thickTop="1" thickBot="1" x14ac:dyDescent="0.3">
      <c r="A52" s="77" t="s">
        <v>52</v>
      </c>
      <c r="B52" s="77"/>
      <c r="C52" s="77"/>
      <c r="D52" s="20">
        <f>D51/$G$47</f>
        <v>0.68210197710718012</v>
      </c>
      <c r="E52" s="23">
        <f>E51/$G$47</f>
        <v>0.29942767950052035</v>
      </c>
      <c r="F52" s="23">
        <f>F51/$G$47</f>
        <v>1.0839403399236908E-2</v>
      </c>
      <c r="G52" s="23">
        <f>G51/$G$47</f>
        <v>7.630939993062546E-3</v>
      </c>
      <c r="H52" s="17">
        <f>SUM(D52:G52)</f>
        <v>1</v>
      </c>
    </row>
    <row r="53" spans="1:8" ht="15.75" thickTop="1" x14ac:dyDescent="0.25">
      <c r="A53" s="19" t="s">
        <v>16</v>
      </c>
    </row>
    <row r="54" spans="1:8" ht="10.5" customHeight="1" x14ac:dyDescent="0.25">
      <c r="A54" s="7" t="s">
        <v>36</v>
      </c>
    </row>
    <row r="55" spans="1:8" ht="10.5" customHeight="1" x14ac:dyDescent="0.25">
      <c r="A55" s="7" t="s">
        <v>35</v>
      </c>
    </row>
    <row r="56" spans="1:8" ht="10.5" customHeight="1" x14ac:dyDescent="0.25">
      <c r="A56" s="7" t="s">
        <v>34</v>
      </c>
    </row>
    <row r="57" spans="1:8" ht="10.5" customHeight="1" x14ac:dyDescent="0.25">
      <c r="A57" s="7" t="s">
        <v>50</v>
      </c>
    </row>
    <row r="58" spans="1:8" ht="6" customHeight="1" x14ac:dyDescent="0.25"/>
    <row r="59" spans="1:8" ht="15.75" thickBot="1" x14ac:dyDescent="0.3">
      <c r="A59" s="1" t="s">
        <v>54</v>
      </c>
      <c r="B59" s="1" t="s">
        <v>91</v>
      </c>
    </row>
    <row r="60" spans="1:8" ht="16.5" thickTop="1" thickBot="1" x14ac:dyDescent="0.3">
      <c r="A60" s="9" t="s">
        <v>7</v>
      </c>
      <c r="B60" s="9" t="s">
        <v>2</v>
      </c>
      <c r="C60" s="10" t="s">
        <v>6</v>
      </c>
      <c r="D60" s="10" t="s">
        <v>25</v>
      </c>
      <c r="E60" s="10" t="s">
        <v>3</v>
      </c>
      <c r="F60" s="10" t="s">
        <v>4</v>
      </c>
      <c r="G60" s="10" t="s">
        <v>5</v>
      </c>
      <c r="H60" s="11" t="s">
        <v>26</v>
      </c>
    </row>
    <row r="61" spans="1:8" ht="15.75" thickTop="1" x14ac:dyDescent="0.25">
      <c r="A61" t="s">
        <v>23</v>
      </c>
      <c r="B61" t="s">
        <v>39</v>
      </c>
      <c r="C61" s="4" t="s">
        <v>22</v>
      </c>
      <c r="D61" s="3">
        <v>1</v>
      </c>
      <c r="E61" s="15">
        <v>47.1</v>
      </c>
      <c r="F61" s="15">
        <v>1.2</v>
      </c>
      <c r="G61" s="15">
        <f>E61-F61</f>
        <v>45.9</v>
      </c>
      <c r="H61" s="4" t="s">
        <v>20</v>
      </c>
    </row>
    <row r="62" spans="1:8" x14ac:dyDescent="0.25">
      <c r="A62" t="s">
        <v>23</v>
      </c>
      <c r="B62" t="s">
        <v>39</v>
      </c>
      <c r="C62" s="4" t="s">
        <v>22</v>
      </c>
      <c r="D62" s="3">
        <f>D61+1</f>
        <v>2</v>
      </c>
      <c r="E62" s="15">
        <v>48.8</v>
      </c>
      <c r="F62" s="15">
        <v>1</v>
      </c>
      <c r="G62" s="15">
        <f t="shared" ref="G62:G77" si="6">E62-F62</f>
        <v>47.8</v>
      </c>
      <c r="H62" s="4" t="s">
        <v>20</v>
      </c>
    </row>
    <row r="63" spans="1:8" x14ac:dyDescent="0.25">
      <c r="A63" t="s">
        <v>23</v>
      </c>
      <c r="B63" t="s">
        <v>39</v>
      </c>
      <c r="C63" s="4" t="s">
        <v>22</v>
      </c>
      <c r="D63" s="3">
        <f t="shared" ref="D63:D77" si="7">D62+1</f>
        <v>3</v>
      </c>
      <c r="E63" s="15">
        <v>47.8</v>
      </c>
      <c r="F63" s="15">
        <v>1.1000000000000001</v>
      </c>
      <c r="G63" s="15">
        <f t="shared" si="6"/>
        <v>46.699999999999996</v>
      </c>
      <c r="H63" s="4" t="s">
        <v>20</v>
      </c>
    </row>
    <row r="64" spans="1:8" x14ac:dyDescent="0.25">
      <c r="A64" t="s">
        <v>23</v>
      </c>
      <c r="B64" t="s">
        <v>39</v>
      </c>
      <c r="C64" s="4" t="s">
        <v>22</v>
      </c>
      <c r="D64" s="3">
        <f t="shared" si="7"/>
        <v>4</v>
      </c>
      <c r="E64" s="15">
        <v>48.7</v>
      </c>
      <c r="F64" s="15">
        <v>1.5</v>
      </c>
      <c r="G64" s="15">
        <f t="shared" si="6"/>
        <v>47.2</v>
      </c>
      <c r="H64" s="4" t="s">
        <v>20</v>
      </c>
    </row>
    <row r="65" spans="1:8" x14ac:dyDescent="0.25">
      <c r="A65" t="s">
        <v>23</v>
      </c>
      <c r="B65" t="s">
        <v>39</v>
      </c>
      <c r="C65" s="4" t="s">
        <v>22</v>
      </c>
      <c r="D65" s="3">
        <f t="shared" si="7"/>
        <v>5</v>
      </c>
      <c r="E65" s="15">
        <v>48.9</v>
      </c>
      <c r="F65" s="15">
        <v>1.7</v>
      </c>
      <c r="G65" s="15">
        <f t="shared" si="6"/>
        <v>47.199999999999996</v>
      </c>
      <c r="H65" s="4" t="s">
        <v>20</v>
      </c>
    </row>
    <row r="66" spans="1:8" x14ac:dyDescent="0.25">
      <c r="A66" t="s">
        <v>23</v>
      </c>
      <c r="B66" t="s">
        <v>39</v>
      </c>
      <c r="C66" s="4" t="s">
        <v>22</v>
      </c>
      <c r="D66" s="3">
        <f t="shared" si="7"/>
        <v>6</v>
      </c>
      <c r="E66" s="15">
        <v>41.2</v>
      </c>
      <c r="F66" s="15">
        <v>1.4</v>
      </c>
      <c r="G66" s="15">
        <f t="shared" si="6"/>
        <v>39.800000000000004</v>
      </c>
      <c r="H66" s="4" t="s">
        <v>20</v>
      </c>
    </row>
    <row r="67" spans="1:8" x14ac:dyDescent="0.25">
      <c r="A67" t="s">
        <v>23</v>
      </c>
      <c r="B67" t="s">
        <v>39</v>
      </c>
      <c r="C67" s="4" t="s">
        <v>22</v>
      </c>
      <c r="D67" s="3">
        <f t="shared" si="7"/>
        <v>7</v>
      </c>
      <c r="E67" s="15">
        <v>41.9</v>
      </c>
      <c r="F67" s="15">
        <v>1.4</v>
      </c>
      <c r="G67" s="15">
        <f t="shared" si="6"/>
        <v>40.5</v>
      </c>
      <c r="H67" s="4" t="s">
        <v>20</v>
      </c>
    </row>
    <row r="68" spans="1:8" x14ac:dyDescent="0.25">
      <c r="A68" t="s">
        <v>23</v>
      </c>
      <c r="B68" t="s">
        <v>39</v>
      </c>
      <c r="C68" s="4" t="s">
        <v>22</v>
      </c>
      <c r="D68" s="3">
        <f t="shared" si="7"/>
        <v>8</v>
      </c>
      <c r="E68" s="15">
        <v>47</v>
      </c>
      <c r="F68" s="15">
        <v>1</v>
      </c>
      <c r="G68" s="15">
        <f t="shared" si="6"/>
        <v>46</v>
      </c>
      <c r="H68" s="4" t="s">
        <v>20</v>
      </c>
    </row>
    <row r="69" spans="1:8" x14ac:dyDescent="0.25">
      <c r="A69" t="s">
        <v>23</v>
      </c>
      <c r="B69" t="s">
        <v>39</v>
      </c>
      <c r="C69" s="4" t="s">
        <v>22</v>
      </c>
      <c r="D69" s="3">
        <f t="shared" si="7"/>
        <v>9</v>
      </c>
      <c r="E69" s="15">
        <v>48.6</v>
      </c>
      <c r="F69" s="15">
        <v>1</v>
      </c>
      <c r="G69" s="15">
        <f t="shared" si="6"/>
        <v>47.6</v>
      </c>
      <c r="H69" s="4" t="s">
        <v>20</v>
      </c>
    </row>
    <row r="70" spans="1:8" x14ac:dyDescent="0.25">
      <c r="A70" t="s">
        <v>23</v>
      </c>
      <c r="B70" t="s">
        <v>39</v>
      </c>
      <c r="C70" s="4" t="s">
        <v>22</v>
      </c>
      <c r="D70" s="3">
        <f t="shared" si="7"/>
        <v>10</v>
      </c>
      <c r="E70" s="15">
        <v>50</v>
      </c>
      <c r="F70" s="15">
        <v>1.2</v>
      </c>
      <c r="G70" s="15">
        <f t="shared" si="6"/>
        <v>48.8</v>
      </c>
      <c r="H70" s="4" t="s">
        <v>20</v>
      </c>
    </row>
    <row r="71" spans="1:8" x14ac:dyDescent="0.25">
      <c r="A71" t="s">
        <v>23</v>
      </c>
      <c r="B71" t="s">
        <v>39</v>
      </c>
      <c r="C71" s="4" t="s">
        <v>22</v>
      </c>
      <c r="D71" s="3">
        <f t="shared" si="7"/>
        <v>11</v>
      </c>
      <c r="E71" s="15">
        <v>51.1</v>
      </c>
      <c r="F71" s="15">
        <v>1.2</v>
      </c>
      <c r="G71" s="15">
        <f t="shared" si="6"/>
        <v>49.9</v>
      </c>
      <c r="H71" s="4" t="s">
        <v>20</v>
      </c>
    </row>
    <row r="72" spans="1:8" x14ac:dyDescent="0.25">
      <c r="A72" t="s">
        <v>23</v>
      </c>
      <c r="B72" t="s">
        <v>39</v>
      </c>
      <c r="C72" s="4" t="s">
        <v>22</v>
      </c>
      <c r="D72" s="3">
        <f t="shared" si="7"/>
        <v>12</v>
      </c>
      <c r="E72" s="15">
        <v>47.9</v>
      </c>
      <c r="F72" s="15">
        <v>1.7</v>
      </c>
      <c r="G72" s="15">
        <f t="shared" si="6"/>
        <v>46.199999999999996</v>
      </c>
      <c r="H72" s="4" t="s">
        <v>20</v>
      </c>
    </row>
    <row r="73" spans="1:8" x14ac:dyDescent="0.25">
      <c r="A73" t="s">
        <v>23</v>
      </c>
      <c r="B73" t="s">
        <v>39</v>
      </c>
      <c r="C73" s="4" t="s">
        <v>22</v>
      </c>
      <c r="D73" s="3">
        <f t="shared" si="7"/>
        <v>13</v>
      </c>
      <c r="E73" s="15">
        <v>50.5</v>
      </c>
      <c r="F73" s="15">
        <v>1.2</v>
      </c>
      <c r="G73" s="15">
        <f t="shared" si="6"/>
        <v>49.3</v>
      </c>
      <c r="H73" s="4" t="s">
        <v>20</v>
      </c>
    </row>
    <row r="74" spans="1:8" x14ac:dyDescent="0.25">
      <c r="A74" t="s">
        <v>23</v>
      </c>
      <c r="B74" t="s">
        <v>39</v>
      </c>
      <c r="C74" s="4" t="s">
        <v>22</v>
      </c>
      <c r="D74" s="3">
        <f t="shared" si="7"/>
        <v>14</v>
      </c>
      <c r="E74" s="15">
        <v>50</v>
      </c>
      <c r="F74" s="15">
        <v>1.5</v>
      </c>
      <c r="G74" s="15">
        <f t="shared" si="6"/>
        <v>48.5</v>
      </c>
      <c r="H74" s="4" t="s">
        <v>20</v>
      </c>
    </row>
    <row r="75" spans="1:8" x14ac:dyDescent="0.25">
      <c r="A75" t="s">
        <v>23</v>
      </c>
      <c r="B75" t="s">
        <v>39</v>
      </c>
      <c r="C75" s="4" t="s">
        <v>22</v>
      </c>
      <c r="D75" s="3">
        <f t="shared" si="7"/>
        <v>15</v>
      </c>
      <c r="E75" s="15">
        <v>52</v>
      </c>
      <c r="F75" s="15">
        <v>1.5</v>
      </c>
      <c r="G75" s="15">
        <f t="shared" si="6"/>
        <v>50.5</v>
      </c>
      <c r="H75" s="4" t="s">
        <v>20</v>
      </c>
    </row>
    <row r="76" spans="1:8" x14ac:dyDescent="0.25">
      <c r="A76" t="s">
        <v>23</v>
      </c>
      <c r="B76" t="s">
        <v>39</v>
      </c>
      <c r="C76" s="4" t="s">
        <v>22</v>
      </c>
      <c r="D76" s="3">
        <f t="shared" si="7"/>
        <v>16</v>
      </c>
      <c r="E76" s="15">
        <v>51.8</v>
      </c>
      <c r="F76" s="15">
        <v>1.5</v>
      </c>
      <c r="G76" s="15">
        <f t="shared" ref="G76" si="8">E76-F76</f>
        <v>50.3</v>
      </c>
      <c r="H76" s="4" t="s">
        <v>20</v>
      </c>
    </row>
    <row r="77" spans="1:8" ht="15.75" thickBot="1" x14ac:dyDescent="0.3">
      <c r="A77" t="s">
        <v>23</v>
      </c>
      <c r="B77" t="s">
        <v>39</v>
      </c>
      <c r="C77" s="4" t="s">
        <v>22</v>
      </c>
      <c r="D77" s="3">
        <f t="shared" si="7"/>
        <v>17</v>
      </c>
      <c r="E77" s="15">
        <v>47.3</v>
      </c>
      <c r="F77" s="15">
        <v>1.3</v>
      </c>
      <c r="G77" s="15">
        <f t="shared" si="6"/>
        <v>46</v>
      </c>
      <c r="H77" s="4" t="s">
        <v>20</v>
      </c>
    </row>
    <row r="78" spans="1:8" ht="16.5" thickTop="1" thickBot="1" x14ac:dyDescent="0.3">
      <c r="A78" s="75" t="s">
        <v>27</v>
      </c>
      <c r="B78" s="75"/>
      <c r="C78" s="75"/>
      <c r="D78" s="12">
        <f>D77</f>
        <v>17</v>
      </c>
      <c r="E78" s="14">
        <f>SUM(E61:E77)</f>
        <v>820.59999999999991</v>
      </c>
      <c r="F78" s="14">
        <f>SUM(F61:F77)</f>
        <v>22.4</v>
      </c>
      <c r="G78" s="14">
        <f>SUM(G61:G77)</f>
        <v>798.19999999999993</v>
      </c>
      <c r="H78" s="13"/>
    </row>
    <row r="79" spans="1:8" ht="6" customHeight="1" thickTop="1" x14ac:dyDescent="0.25"/>
    <row r="80" spans="1:8" ht="15.75" thickBot="1" x14ac:dyDescent="0.3">
      <c r="A80" s="1" t="s">
        <v>29</v>
      </c>
    </row>
    <row r="81" spans="1:8" ht="33" customHeight="1" thickTop="1" thickBot="1" x14ac:dyDescent="0.3">
      <c r="A81" s="9" t="s">
        <v>7</v>
      </c>
      <c r="B81" s="9" t="s">
        <v>2</v>
      </c>
      <c r="C81" s="10" t="s">
        <v>6</v>
      </c>
      <c r="D81" s="11" t="s">
        <v>30</v>
      </c>
      <c r="E81" s="11" t="s">
        <v>31</v>
      </c>
      <c r="F81" s="11" t="s">
        <v>32</v>
      </c>
      <c r="G81" s="11" t="s">
        <v>33</v>
      </c>
      <c r="H81" s="11" t="s">
        <v>37</v>
      </c>
    </row>
    <row r="82" spans="1:8" ht="16.5" thickTop="1" thickBot="1" x14ac:dyDescent="0.3">
      <c r="A82" t="s">
        <v>23</v>
      </c>
      <c r="B82" s="31" t="s">
        <v>39</v>
      </c>
      <c r="C82" s="4" t="s">
        <v>22</v>
      </c>
      <c r="D82" s="15">
        <v>527.70000000000005</v>
      </c>
      <c r="E82" s="15">
        <v>251.2</v>
      </c>
      <c r="F82" s="15">
        <v>11.9</v>
      </c>
      <c r="G82" s="15">
        <f>G78-(D82+E82+F82)</f>
        <v>7.3999999999998636</v>
      </c>
      <c r="H82" s="15">
        <f>SUM(D82:G82)</f>
        <v>798.19999999999993</v>
      </c>
    </row>
    <row r="83" spans="1:8" ht="16.5" thickTop="1" thickBot="1" x14ac:dyDescent="0.3">
      <c r="A83" s="77" t="s">
        <v>52</v>
      </c>
      <c r="B83" s="77"/>
      <c r="C83" s="77"/>
      <c r="D83" s="20">
        <f>D82/$G$78</f>
        <v>0.66111250313204717</v>
      </c>
      <c r="E83" s="23">
        <f>E82/$G$78</f>
        <v>0.31470809320972187</v>
      </c>
      <c r="F83" s="23">
        <f>F82/$G$78</f>
        <v>1.4908544224505138E-2</v>
      </c>
      <c r="G83" s="23">
        <f>G82/$G$78</f>
        <v>9.2708594337257127E-3</v>
      </c>
      <c r="H83" s="17">
        <f>SUM(D83:G83)</f>
        <v>0.99999999999999989</v>
      </c>
    </row>
    <row r="84" spans="1:8" ht="15.75" thickTop="1" x14ac:dyDescent="0.25">
      <c r="A84" s="19" t="s">
        <v>16</v>
      </c>
    </row>
    <row r="85" spans="1:8" ht="10.5" customHeight="1" x14ac:dyDescent="0.25">
      <c r="A85" s="7" t="s">
        <v>36</v>
      </c>
    </row>
    <row r="86" spans="1:8" ht="10.5" customHeight="1" x14ac:dyDescent="0.25">
      <c r="A86" s="7" t="s">
        <v>35</v>
      </c>
    </row>
    <row r="87" spans="1:8" ht="10.5" customHeight="1" x14ac:dyDescent="0.25">
      <c r="A87" s="7" t="s">
        <v>34</v>
      </c>
    </row>
    <row r="88" spans="1:8" ht="10.5" customHeight="1" x14ac:dyDescent="0.25">
      <c r="A88" s="7" t="s">
        <v>50</v>
      </c>
    </row>
    <row r="89" spans="1:8" ht="5.25" customHeight="1" x14ac:dyDescent="0.25"/>
    <row r="90" spans="1:8" ht="15.75" thickBot="1" x14ac:dyDescent="0.3">
      <c r="A90" s="1" t="s">
        <v>55</v>
      </c>
      <c r="B90" s="1" t="s">
        <v>86</v>
      </c>
    </row>
    <row r="91" spans="1:8" ht="16.5" thickTop="1" thickBot="1" x14ac:dyDescent="0.3">
      <c r="A91" s="9" t="s">
        <v>7</v>
      </c>
      <c r="B91" s="9" t="s">
        <v>2</v>
      </c>
      <c r="C91" s="10" t="s">
        <v>6</v>
      </c>
      <c r="D91" s="10" t="s">
        <v>25</v>
      </c>
      <c r="E91" s="10" t="s">
        <v>3</v>
      </c>
      <c r="F91" s="10" t="s">
        <v>4</v>
      </c>
      <c r="G91" s="10" t="s">
        <v>5</v>
      </c>
      <c r="H91" s="11" t="s">
        <v>26</v>
      </c>
    </row>
    <row r="92" spans="1:8" ht="15.75" thickTop="1" x14ac:dyDescent="0.25">
      <c r="A92" t="s">
        <v>23</v>
      </c>
      <c r="B92" t="s">
        <v>62</v>
      </c>
      <c r="C92" s="4" t="s">
        <v>90</v>
      </c>
      <c r="D92" s="3">
        <v>1</v>
      </c>
      <c r="E92" s="15">
        <v>27.6</v>
      </c>
      <c r="F92" s="15">
        <v>0.2</v>
      </c>
      <c r="G92" s="15">
        <f>E92-F92</f>
        <v>27.400000000000002</v>
      </c>
      <c r="H92" s="4" t="s">
        <v>20</v>
      </c>
    </row>
    <row r="93" spans="1:8" x14ac:dyDescent="0.25">
      <c r="A93" t="s">
        <v>23</v>
      </c>
      <c r="B93" t="s">
        <v>62</v>
      </c>
      <c r="C93" s="4" t="s">
        <v>90</v>
      </c>
      <c r="D93" s="3">
        <f>D92+1</f>
        <v>2</v>
      </c>
      <c r="E93" s="15">
        <v>24.7</v>
      </c>
      <c r="F93" s="15">
        <v>0.2</v>
      </c>
      <c r="G93" s="15">
        <f t="shared" ref="G93:G106" si="9">E93-F93</f>
        <v>24.5</v>
      </c>
      <c r="H93" s="4" t="s">
        <v>20</v>
      </c>
    </row>
    <row r="94" spans="1:8" x14ac:dyDescent="0.25">
      <c r="A94" t="s">
        <v>23</v>
      </c>
      <c r="B94" t="s">
        <v>62</v>
      </c>
      <c r="C94" s="4" t="s">
        <v>90</v>
      </c>
      <c r="D94" s="3">
        <f t="shared" ref="D94:D106" si="10">D93+1</f>
        <v>3</v>
      </c>
      <c r="E94" s="15">
        <v>26.5</v>
      </c>
      <c r="F94" s="15">
        <v>0.2</v>
      </c>
      <c r="G94" s="15">
        <f t="shared" si="9"/>
        <v>26.3</v>
      </c>
      <c r="H94" s="4" t="s">
        <v>20</v>
      </c>
    </row>
    <row r="95" spans="1:8" x14ac:dyDescent="0.25">
      <c r="A95" t="s">
        <v>23</v>
      </c>
      <c r="B95" t="s">
        <v>62</v>
      </c>
      <c r="C95" s="4" t="s">
        <v>90</v>
      </c>
      <c r="D95" s="3">
        <f t="shared" si="10"/>
        <v>4</v>
      </c>
      <c r="E95" s="15">
        <v>26.5</v>
      </c>
      <c r="F95" s="15">
        <v>0.2</v>
      </c>
      <c r="G95" s="15">
        <f t="shared" si="9"/>
        <v>26.3</v>
      </c>
      <c r="H95" s="4" t="s">
        <v>20</v>
      </c>
    </row>
    <row r="96" spans="1:8" x14ac:dyDescent="0.25">
      <c r="A96" t="s">
        <v>23</v>
      </c>
      <c r="B96" t="s">
        <v>62</v>
      </c>
      <c r="C96" s="4" t="s">
        <v>90</v>
      </c>
      <c r="D96" s="3">
        <f t="shared" si="10"/>
        <v>5</v>
      </c>
      <c r="E96" s="15">
        <v>21.4</v>
      </c>
      <c r="F96" s="15">
        <v>0.2</v>
      </c>
      <c r="G96" s="15">
        <f t="shared" si="9"/>
        <v>21.2</v>
      </c>
      <c r="H96" s="4" t="s">
        <v>20</v>
      </c>
    </row>
    <row r="97" spans="1:8" x14ac:dyDescent="0.25">
      <c r="A97" t="s">
        <v>23</v>
      </c>
      <c r="B97" t="s">
        <v>62</v>
      </c>
      <c r="C97" s="4" t="s">
        <v>90</v>
      </c>
      <c r="D97" s="3">
        <f t="shared" si="10"/>
        <v>6</v>
      </c>
      <c r="E97" s="15">
        <v>23.7</v>
      </c>
      <c r="F97" s="15">
        <v>0.2</v>
      </c>
      <c r="G97" s="15">
        <f t="shared" si="9"/>
        <v>23.5</v>
      </c>
      <c r="H97" s="4" t="s">
        <v>20</v>
      </c>
    </row>
    <row r="98" spans="1:8" x14ac:dyDescent="0.25">
      <c r="A98" t="s">
        <v>23</v>
      </c>
      <c r="B98" t="s">
        <v>62</v>
      </c>
      <c r="C98" s="4" t="s">
        <v>90</v>
      </c>
      <c r="D98" s="3">
        <f t="shared" si="10"/>
        <v>7</v>
      </c>
      <c r="E98" s="15">
        <v>24.3</v>
      </c>
      <c r="F98" s="15">
        <v>0.2</v>
      </c>
      <c r="G98" s="15">
        <f t="shared" si="9"/>
        <v>24.1</v>
      </c>
      <c r="H98" s="4" t="s">
        <v>20</v>
      </c>
    </row>
    <row r="99" spans="1:8" x14ac:dyDescent="0.25">
      <c r="A99" t="s">
        <v>23</v>
      </c>
      <c r="B99" t="s">
        <v>62</v>
      </c>
      <c r="C99" s="4" t="s">
        <v>90</v>
      </c>
      <c r="D99" s="3">
        <f t="shared" si="10"/>
        <v>8</v>
      </c>
      <c r="E99" s="15">
        <v>26.7</v>
      </c>
      <c r="F99" s="15">
        <v>0.2</v>
      </c>
      <c r="G99" s="15">
        <f t="shared" si="9"/>
        <v>26.5</v>
      </c>
      <c r="H99" s="4" t="s">
        <v>20</v>
      </c>
    </row>
    <row r="100" spans="1:8" x14ac:dyDescent="0.25">
      <c r="A100" t="s">
        <v>23</v>
      </c>
      <c r="B100" t="s">
        <v>62</v>
      </c>
      <c r="C100" s="4" t="s">
        <v>90</v>
      </c>
      <c r="D100" s="3">
        <f t="shared" si="10"/>
        <v>9</v>
      </c>
      <c r="E100" s="15">
        <v>22.6</v>
      </c>
      <c r="F100" s="15">
        <v>0.2</v>
      </c>
      <c r="G100" s="15">
        <f t="shared" si="9"/>
        <v>22.400000000000002</v>
      </c>
      <c r="H100" s="4" t="s">
        <v>20</v>
      </c>
    </row>
    <row r="101" spans="1:8" x14ac:dyDescent="0.25">
      <c r="A101" t="s">
        <v>23</v>
      </c>
      <c r="B101" t="s">
        <v>62</v>
      </c>
      <c r="C101" s="4" t="s">
        <v>90</v>
      </c>
      <c r="D101" s="3">
        <f t="shared" si="10"/>
        <v>10</v>
      </c>
      <c r="E101" s="15">
        <v>24.6</v>
      </c>
      <c r="F101" s="15">
        <v>0.2</v>
      </c>
      <c r="G101" s="15">
        <f t="shared" si="9"/>
        <v>24.400000000000002</v>
      </c>
      <c r="H101" s="4" t="s">
        <v>20</v>
      </c>
    </row>
    <row r="102" spans="1:8" x14ac:dyDescent="0.25">
      <c r="A102" t="s">
        <v>23</v>
      </c>
      <c r="B102" t="s">
        <v>62</v>
      </c>
      <c r="C102" s="4" t="s">
        <v>90</v>
      </c>
      <c r="D102" s="3">
        <f t="shared" si="10"/>
        <v>11</v>
      </c>
      <c r="E102" s="15">
        <v>26.4</v>
      </c>
      <c r="F102" s="15">
        <v>0.2</v>
      </c>
      <c r="G102" s="15">
        <f t="shared" si="9"/>
        <v>26.2</v>
      </c>
      <c r="H102" s="4" t="s">
        <v>20</v>
      </c>
    </row>
    <row r="103" spans="1:8" x14ac:dyDescent="0.25">
      <c r="A103" t="s">
        <v>23</v>
      </c>
      <c r="B103" t="s">
        <v>62</v>
      </c>
      <c r="C103" s="4" t="s">
        <v>90</v>
      </c>
      <c r="D103" s="3">
        <f t="shared" si="10"/>
        <v>12</v>
      </c>
      <c r="E103" s="15">
        <v>23.5</v>
      </c>
      <c r="F103" s="15">
        <v>0.2</v>
      </c>
      <c r="G103" s="15">
        <f t="shared" si="9"/>
        <v>23.3</v>
      </c>
      <c r="H103" s="4" t="s">
        <v>20</v>
      </c>
    </row>
    <row r="104" spans="1:8" x14ac:dyDescent="0.25">
      <c r="A104" t="s">
        <v>23</v>
      </c>
      <c r="B104" t="s">
        <v>62</v>
      </c>
      <c r="C104" s="4" t="s">
        <v>90</v>
      </c>
      <c r="D104" s="3">
        <f t="shared" si="10"/>
        <v>13</v>
      </c>
      <c r="E104" s="15">
        <v>22.3</v>
      </c>
      <c r="F104" s="15">
        <v>0.2</v>
      </c>
      <c r="G104" s="15">
        <f t="shared" si="9"/>
        <v>22.1</v>
      </c>
      <c r="H104" s="4" t="s">
        <v>20</v>
      </c>
    </row>
    <row r="105" spans="1:8" x14ac:dyDescent="0.25">
      <c r="A105" t="s">
        <v>23</v>
      </c>
      <c r="B105" t="s">
        <v>62</v>
      </c>
      <c r="C105" s="4" t="s">
        <v>90</v>
      </c>
      <c r="D105" s="3">
        <f t="shared" si="10"/>
        <v>14</v>
      </c>
      <c r="E105" s="15">
        <v>26.5</v>
      </c>
      <c r="F105" s="15">
        <v>0.2</v>
      </c>
      <c r="G105" s="15">
        <f t="shared" si="9"/>
        <v>26.3</v>
      </c>
      <c r="H105" s="4" t="s">
        <v>20</v>
      </c>
    </row>
    <row r="106" spans="1:8" ht="15.75" thickBot="1" x14ac:dyDescent="0.3">
      <c r="A106" t="s">
        <v>23</v>
      </c>
      <c r="B106" t="s">
        <v>62</v>
      </c>
      <c r="C106" s="4" t="s">
        <v>90</v>
      </c>
      <c r="D106" s="3">
        <f t="shared" si="10"/>
        <v>15</v>
      </c>
      <c r="E106" s="15">
        <v>26.5</v>
      </c>
      <c r="F106" s="15">
        <v>0.2</v>
      </c>
      <c r="G106" s="15">
        <f t="shared" si="9"/>
        <v>26.3</v>
      </c>
      <c r="H106" s="4" t="s">
        <v>20</v>
      </c>
    </row>
    <row r="107" spans="1:8" ht="16.5" thickTop="1" thickBot="1" x14ac:dyDescent="0.3">
      <c r="A107" s="75" t="s">
        <v>27</v>
      </c>
      <c r="B107" s="75"/>
      <c r="C107" s="75"/>
      <c r="D107" s="12">
        <f>D106</f>
        <v>15</v>
      </c>
      <c r="E107" s="14">
        <f>SUM(E92:E106)</f>
        <v>373.79999999999995</v>
      </c>
      <c r="F107" s="14">
        <f>SUM(F92:F106)</f>
        <v>3.0000000000000004</v>
      </c>
      <c r="G107" s="14">
        <f>SUM(G92:G106)</f>
        <v>370.80000000000007</v>
      </c>
      <c r="H107" s="13"/>
    </row>
    <row r="108" spans="1:8" ht="6.75" customHeight="1" thickTop="1" x14ac:dyDescent="0.25"/>
    <row r="109" spans="1:8" ht="15.75" thickBot="1" x14ac:dyDescent="0.3">
      <c r="A109" s="1" t="s">
        <v>29</v>
      </c>
    </row>
    <row r="110" spans="1:8" ht="31.5" thickTop="1" thickBot="1" x14ac:dyDescent="0.3">
      <c r="A110" s="9" t="s">
        <v>7</v>
      </c>
      <c r="B110" s="9" t="s">
        <v>2</v>
      </c>
      <c r="C110" s="10" t="s">
        <v>6</v>
      </c>
      <c r="D110" s="11" t="s">
        <v>30</v>
      </c>
      <c r="E110" s="11" t="s">
        <v>31</v>
      </c>
      <c r="F110" s="11" t="s">
        <v>32</v>
      </c>
      <c r="G110" s="11" t="s">
        <v>33</v>
      </c>
      <c r="H110" s="11" t="s">
        <v>37</v>
      </c>
    </row>
    <row r="111" spans="1:8" ht="16.5" thickTop="1" thickBot="1" x14ac:dyDescent="0.3">
      <c r="A111" t="s">
        <v>23</v>
      </c>
      <c r="B111" t="s">
        <v>62</v>
      </c>
      <c r="C111" s="4" t="s">
        <v>90</v>
      </c>
      <c r="D111" s="15">
        <v>222.6</v>
      </c>
      <c r="E111" s="15">
        <v>138.80000000000001</v>
      </c>
      <c r="F111" s="15">
        <v>8.1999999999999993</v>
      </c>
      <c r="G111" s="15">
        <f>G107-(D111+E111+F111)</f>
        <v>1.2000000000001023</v>
      </c>
      <c r="H111" s="15">
        <f>SUM(D111:G111)</f>
        <v>370.80000000000007</v>
      </c>
    </row>
    <row r="112" spans="1:8" ht="16.5" thickTop="1" thickBot="1" x14ac:dyDescent="0.3">
      <c r="A112" s="77" t="s">
        <v>52</v>
      </c>
      <c r="B112" s="77"/>
      <c r="C112" s="77"/>
      <c r="D112" s="20">
        <f>D111/$G$107</f>
        <v>0.60032362459546917</v>
      </c>
      <c r="E112" s="23">
        <f t="shared" ref="E112:G112" si="11">E111/$G$107</f>
        <v>0.37432578209277234</v>
      </c>
      <c r="F112" s="23">
        <f>F111/$G$107</f>
        <v>2.2114347357065797E-2</v>
      </c>
      <c r="G112" s="23">
        <f t="shared" si="11"/>
        <v>3.2362459546928322E-3</v>
      </c>
      <c r="H112" s="17">
        <f>SUM(D112:G112)</f>
        <v>1</v>
      </c>
    </row>
    <row r="113" spans="1:8" ht="15.75" thickTop="1" x14ac:dyDescent="0.25">
      <c r="A113" s="19" t="s">
        <v>16</v>
      </c>
    </row>
    <row r="114" spans="1:8" ht="11.25" customHeight="1" x14ac:dyDescent="0.25">
      <c r="A114" s="7" t="s">
        <v>36</v>
      </c>
    </row>
    <row r="115" spans="1:8" ht="11.25" customHeight="1" x14ac:dyDescent="0.25">
      <c r="A115" s="7" t="s">
        <v>35</v>
      </c>
    </row>
    <row r="116" spans="1:8" ht="11.25" customHeight="1" x14ac:dyDescent="0.25">
      <c r="A116" s="7" t="s">
        <v>34</v>
      </c>
    </row>
    <row r="117" spans="1:8" ht="11.25" customHeight="1" x14ac:dyDescent="0.25">
      <c r="A117" s="7" t="s">
        <v>50</v>
      </c>
    </row>
    <row r="118" spans="1:8" ht="6.75" customHeight="1" x14ac:dyDescent="0.25"/>
    <row r="119" spans="1:8" ht="17.25" customHeight="1" thickBot="1" x14ac:dyDescent="0.3">
      <c r="A119" s="1" t="s">
        <v>56</v>
      </c>
      <c r="B119" s="1" t="s">
        <v>87</v>
      </c>
    </row>
    <row r="120" spans="1:8" ht="16.5" thickTop="1" thickBot="1" x14ac:dyDescent="0.3">
      <c r="A120" s="9" t="s">
        <v>7</v>
      </c>
      <c r="B120" s="9" t="s">
        <v>2</v>
      </c>
      <c r="C120" s="10" t="s">
        <v>6</v>
      </c>
      <c r="D120" s="10" t="s">
        <v>25</v>
      </c>
      <c r="E120" s="10" t="s">
        <v>3</v>
      </c>
      <c r="F120" s="10" t="s">
        <v>4</v>
      </c>
      <c r="G120" s="10" t="s">
        <v>5</v>
      </c>
      <c r="H120" s="11" t="s">
        <v>26</v>
      </c>
    </row>
    <row r="121" spans="1:8" ht="15.75" thickTop="1" x14ac:dyDescent="0.25">
      <c r="A121" t="s">
        <v>23</v>
      </c>
      <c r="B121" t="s">
        <v>88</v>
      </c>
      <c r="C121" s="4" t="s">
        <v>22</v>
      </c>
      <c r="D121" s="3">
        <v>1</v>
      </c>
      <c r="E121" s="15">
        <v>54.5</v>
      </c>
      <c r="F121" s="15">
        <v>1.2</v>
      </c>
      <c r="G121" s="15">
        <f>E121-F121</f>
        <v>53.3</v>
      </c>
      <c r="H121" s="4" t="s">
        <v>20</v>
      </c>
    </row>
    <row r="122" spans="1:8" x14ac:dyDescent="0.25">
      <c r="A122" t="s">
        <v>23</v>
      </c>
      <c r="B122" t="s">
        <v>88</v>
      </c>
      <c r="C122" s="4" t="s">
        <v>22</v>
      </c>
      <c r="D122" s="3">
        <f>D121+1</f>
        <v>2</v>
      </c>
      <c r="E122" s="15">
        <v>48</v>
      </c>
      <c r="F122" s="15">
        <v>1.1000000000000001</v>
      </c>
      <c r="G122" s="15">
        <f t="shared" ref="G122:G130" si="12">E122-F122</f>
        <v>46.9</v>
      </c>
      <c r="H122" s="4" t="s">
        <v>20</v>
      </c>
    </row>
    <row r="123" spans="1:8" x14ac:dyDescent="0.25">
      <c r="A123" t="s">
        <v>23</v>
      </c>
      <c r="B123" t="s">
        <v>88</v>
      </c>
      <c r="C123" s="4" t="s">
        <v>22</v>
      </c>
      <c r="D123" s="3">
        <f t="shared" ref="D123:D130" si="13">D122+1</f>
        <v>3</v>
      </c>
      <c r="E123" s="15">
        <v>49.3</v>
      </c>
      <c r="F123" s="15">
        <v>1.4</v>
      </c>
      <c r="G123" s="15">
        <f t="shared" si="12"/>
        <v>47.9</v>
      </c>
      <c r="H123" s="4" t="s">
        <v>20</v>
      </c>
    </row>
    <row r="124" spans="1:8" x14ac:dyDescent="0.25">
      <c r="A124" t="s">
        <v>23</v>
      </c>
      <c r="B124" t="s">
        <v>88</v>
      </c>
      <c r="C124" s="4" t="s">
        <v>22</v>
      </c>
      <c r="D124" s="3">
        <f t="shared" si="13"/>
        <v>4</v>
      </c>
      <c r="E124" s="15">
        <v>54.3</v>
      </c>
      <c r="F124" s="15">
        <v>1.1000000000000001</v>
      </c>
      <c r="G124" s="15">
        <f t="shared" si="12"/>
        <v>53.199999999999996</v>
      </c>
      <c r="H124" s="4" t="s">
        <v>20</v>
      </c>
    </row>
    <row r="125" spans="1:8" x14ac:dyDescent="0.25">
      <c r="A125" t="s">
        <v>23</v>
      </c>
      <c r="B125" t="s">
        <v>88</v>
      </c>
      <c r="C125" s="4" t="s">
        <v>22</v>
      </c>
      <c r="D125" s="3">
        <f t="shared" si="13"/>
        <v>5</v>
      </c>
      <c r="E125" s="15">
        <v>49.3</v>
      </c>
      <c r="F125" s="15">
        <v>1.1000000000000001</v>
      </c>
      <c r="G125" s="15">
        <f t="shared" si="12"/>
        <v>48.199999999999996</v>
      </c>
      <c r="H125" s="4" t="s">
        <v>20</v>
      </c>
    </row>
    <row r="126" spans="1:8" x14ac:dyDescent="0.25">
      <c r="A126" t="s">
        <v>23</v>
      </c>
      <c r="B126" t="s">
        <v>88</v>
      </c>
      <c r="C126" s="4" t="s">
        <v>22</v>
      </c>
      <c r="D126" s="3">
        <f t="shared" si="13"/>
        <v>6</v>
      </c>
      <c r="E126" s="15">
        <v>53.8</v>
      </c>
      <c r="F126" s="15">
        <v>1.1000000000000001</v>
      </c>
      <c r="G126" s="15">
        <f t="shared" si="12"/>
        <v>52.699999999999996</v>
      </c>
      <c r="H126" s="4" t="s">
        <v>20</v>
      </c>
    </row>
    <row r="127" spans="1:8" x14ac:dyDescent="0.25">
      <c r="A127" t="s">
        <v>23</v>
      </c>
      <c r="B127" t="s">
        <v>88</v>
      </c>
      <c r="C127" s="4" t="s">
        <v>22</v>
      </c>
      <c r="D127" s="3">
        <f t="shared" si="13"/>
        <v>7</v>
      </c>
      <c r="E127" s="15">
        <v>53.2</v>
      </c>
      <c r="F127" s="15">
        <v>1.1000000000000001</v>
      </c>
      <c r="G127" s="15">
        <f t="shared" si="12"/>
        <v>52.1</v>
      </c>
      <c r="H127" s="4" t="s">
        <v>20</v>
      </c>
    </row>
    <row r="128" spans="1:8" x14ac:dyDescent="0.25">
      <c r="A128" t="s">
        <v>23</v>
      </c>
      <c r="B128" t="s">
        <v>88</v>
      </c>
      <c r="C128" s="4" t="s">
        <v>22</v>
      </c>
      <c r="D128" s="3">
        <f t="shared" si="13"/>
        <v>8</v>
      </c>
      <c r="E128" s="15">
        <v>41.9</v>
      </c>
      <c r="F128" s="15">
        <v>1.1000000000000001</v>
      </c>
      <c r="G128" s="15">
        <f t="shared" si="12"/>
        <v>40.799999999999997</v>
      </c>
      <c r="H128" s="4" t="s">
        <v>20</v>
      </c>
    </row>
    <row r="129" spans="1:8" x14ac:dyDescent="0.25">
      <c r="A129" t="s">
        <v>23</v>
      </c>
      <c r="B129" t="s">
        <v>88</v>
      </c>
      <c r="C129" s="4" t="s">
        <v>22</v>
      </c>
      <c r="D129" s="3">
        <f t="shared" si="13"/>
        <v>9</v>
      </c>
      <c r="E129" s="15">
        <v>55</v>
      </c>
      <c r="F129" s="15">
        <v>1.1000000000000001</v>
      </c>
      <c r="G129" s="15">
        <f t="shared" si="12"/>
        <v>53.9</v>
      </c>
      <c r="H129" s="4" t="s">
        <v>20</v>
      </c>
    </row>
    <row r="130" spans="1:8" ht="15.75" thickBot="1" x14ac:dyDescent="0.3">
      <c r="A130" t="s">
        <v>23</v>
      </c>
      <c r="B130" t="s">
        <v>88</v>
      </c>
      <c r="C130" s="4" t="s">
        <v>22</v>
      </c>
      <c r="D130" s="3">
        <f t="shared" si="13"/>
        <v>10</v>
      </c>
      <c r="E130" s="15">
        <v>48.4</v>
      </c>
      <c r="F130" s="15">
        <v>1.5</v>
      </c>
      <c r="G130" s="15">
        <f t="shared" si="12"/>
        <v>46.9</v>
      </c>
      <c r="H130" s="4" t="s">
        <v>20</v>
      </c>
    </row>
    <row r="131" spans="1:8" ht="16.5" thickTop="1" thickBot="1" x14ac:dyDescent="0.3">
      <c r="A131" s="75" t="s">
        <v>27</v>
      </c>
      <c r="B131" s="75"/>
      <c r="C131" s="75"/>
      <c r="D131" s="12">
        <f>D130</f>
        <v>10</v>
      </c>
      <c r="E131" s="14">
        <f>SUM(E121:E130)</f>
        <v>507.7</v>
      </c>
      <c r="F131" s="14">
        <f>SUM(F121:F130)</f>
        <v>11.799999999999999</v>
      </c>
      <c r="G131" s="14">
        <f>SUM(G121:G130)</f>
        <v>495.9</v>
      </c>
      <c r="H131" s="13"/>
    </row>
    <row r="132" spans="1:8" ht="6.75" customHeight="1" thickTop="1" x14ac:dyDescent="0.25"/>
    <row r="133" spans="1:8" ht="15.75" thickBot="1" x14ac:dyDescent="0.3">
      <c r="A133" s="1" t="s">
        <v>29</v>
      </c>
    </row>
    <row r="134" spans="1:8" ht="30" customHeight="1" thickTop="1" thickBot="1" x14ac:dyDescent="0.3">
      <c r="A134" s="9" t="s">
        <v>7</v>
      </c>
      <c r="B134" s="9" t="s">
        <v>2</v>
      </c>
      <c r="C134" s="10" t="s">
        <v>6</v>
      </c>
      <c r="D134" s="11" t="s">
        <v>30</v>
      </c>
      <c r="E134" s="11" t="s">
        <v>31</v>
      </c>
      <c r="F134" s="11" t="s">
        <v>32</v>
      </c>
      <c r="G134" s="11" t="s">
        <v>33</v>
      </c>
      <c r="H134" s="11" t="s">
        <v>37</v>
      </c>
    </row>
    <row r="135" spans="1:8" ht="16.5" thickTop="1" thickBot="1" x14ac:dyDescent="0.3">
      <c r="A135" t="s">
        <v>23</v>
      </c>
      <c r="B135" s="31" t="str">
        <f>B129</f>
        <v>MADURA'25</v>
      </c>
      <c r="C135" s="3" t="s">
        <v>22</v>
      </c>
      <c r="D135" s="15">
        <v>412</v>
      </c>
      <c r="E135" s="15">
        <v>67.7</v>
      </c>
      <c r="F135" s="15">
        <v>6.6</v>
      </c>
      <c r="G135" s="15">
        <f>G131-(D135+E135+F135)</f>
        <v>9.5999999999999659</v>
      </c>
      <c r="H135" s="15">
        <f>SUM(D135:G135)</f>
        <v>495.9</v>
      </c>
    </row>
    <row r="136" spans="1:8" ht="16.5" thickTop="1" thickBot="1" x14ac:dyDescent="0.3">
      <c r="A136" s="77" t="s">
        <v>52</v>
      </c>
      <c r="B136" s="77"/>
      <c r="C136" s="77"/>
      <c r="D136" s="20">
        <f>D135/$G$131</f>
        <v>0.83081266384351693</v>
      </c>
      <c r="E136" s="23">
        <f t="shared" ref="E136:G136" si="14">E135/$G$131</f>
        <v>0.1365194595684614</v>
      </c>
      <c r="F136" s="23">
        <f t="shared" si="14"/>
        <v>1.3309134906231096E-2</v>
      </c>
      <c r="G136" s="23">
        <f t="shared" si="14"/>
        <v>1.9358741681790616E-2</v>
      </c>
      <c r="H136" s="17">
        <f>SUM(D136:G136)</f>
        <v>1</v>
      </c>
    </row>
    <row r="137" spans="1:8" ht="15.75" thickTop="1" x14ac:dyDescent="0.25">
      <c r="A137" s="19" t="s">
        <v>16</v>
      </c>
    </row>
    <row r="138" spans="1:8" ht="10.5" customHeight="1" x14ac:dyDescent="0.25">
      <c r="A138" s="7" t="s">
        <v>36</v>
      </c>
    </row>
    <row r="139" spans="1:8" ht="10.5" customHeight="1" x14ac:dyDescent="0.25">
      <c r="A139" s="7" t="s">
        <v>35</v>
      </c>
    </row>
    <row r="140" spans="1:8" ht="10.5" customHeight="1" x14ac:dyDescent="0.25">
      <c r="A140" s="7" t="s">
        <v>34</v>
      </c>
    </row>
    <row r="141" spans="1:8" ht="10.5" customHeight="1" x14ac:dyDescent="0.25">
      <c r="A141" s="7" t="s">
        <v>50</v>
      </c>
    </row>
    <row r="142" spans="1:8" ht="6" customHeight="1" x14ac:dyDescent="0.25"/>
    <row r="143" spans="1:8" ht="15.75" thickBot="1" x14ac:dyDescent="0.3">
      <c r="A143" s="1" t="s">
        <v>57</v>
      </c>
      <c r="B143" s="1" t="s">
        <v>82</v>
      </c>
    </row>
    <row r="144" spans="1:8" ht="16.5" thickTop="1" thickBot="1" x14ac:dyDescent="0.3">
      <c r="A144" s="9" t="s">
        <v>7</v>
      </c>
      <c r="B144" s="9" t="s">
        <v>2</v>
      </c>
      <c r="C144" s="10" t="s">
        <v>6</v>
      </c>
      <c r="D144" s="10" t="s">
        <v>25</v>
      </c>
      <c r="E144" s="10" t="s">
        <v>3</v>
      </c>
      <c r="F144" s="10" t="s">
        <v>4</v>
      </c>
      <c r="G144" s="10" t="s">
        <v>5</v>
      </c>
      <c r="H144" s="11" t="s">
        <v>26</v>
      </c>
    </row>
    <row r="145" spans="1:8" ht="15.75" thickTop="1" x14ac:dyDescent="0.25">
      <c r="A145" t="s">
        <v>23</v>
      </c>
      <c r="B145" t="s">
        <v>80</v>
      </c>
      <c r="C145" s="4" t="s">
        <v>22</v>
      </c>
      <c r="D145" s="3">
        <v>1</v>
      </c>
      <c r="E145" s="15">
        <v>49.7</v>
      </c>
      <c r="F145" s="15">
        <v>1</v>
      </c>
      <c r="G145" s="15">
        <f>E145-F145</f>
        <v>48.7</v>
      </c>
      <c r="H145" s="4" t="s">
        <v>20</v>
      </c>
    </row>
    <row r="146" spans="1:8" x14ac:dyDescent="0.25">
      <c r="A146" t="s">
        <v>23</v>
      </c>
      <c r="B146" t="s">
        <v>80</v>
      </c>
      <c r="C146" s="4" t="s">
        <v>22</v>
      </c>
      <c r="D146" s="3">
        <f>D145+1</f>
        <v>2</v>
      </c>
      <c r="E146" s="15">
        <v>52.4</v>
      </c>
      <c r="F146" s="15">
        <v>1.5</v>
      </c>
      <c r="G146" s="15">
        <f t="shared" ref="G146:G154" si="15">E146-F146</f>
        <v>50.9</v>
      </c>
      <c r="H146" s="4" t="s">
        <v>20</v>
      </c>
    </row>
    <row r="147" spans="1:8" x14ac:dyDescent="0.25">
      <c r="A147" t="s">
        <v>23</v>
      </c>
      <c r="B147" t="s">
        <v>80</v>
      </c>
      <c r="C147" s="4" t="s">
        <v>22</v>
      </c>
      <c r="D147" s="3">
        <f t="shared" ref="D147:D154" si="16">D146+1</f>
        <v>3</v>
      </c>
      <c r="E147" s="15">
        <v>49.2</v>
      </c>
      <c r="F147" s="15">
        <v>1.1000000000000001</v>
      </c>
      <c r="G147" s="15">
        <f t="shared" si="15"/>
        <v>48.1</v>
      </c>
      <c r="H147" s="4" t="s">
        <v>20</v>
      </c>
    </row>
    <row r="148" spans="1:8" x14ac:dyDescent="0.25">
      <c r="A148" t="s">
        <v>23</v>
      </c>
      <c r="B148" t="s">
        <v>80</v>
      </c>
      <c r="C148" s="4" t="s">
        <v>22</v>
      </c>
      <c r="D148" s="3">
        <f t="shared" si="16"/>
        <v>4</v>
      </c>
      <c r="E148" s="15">
        <v>51</v>
      </c>
      <c r="F148" s="15">
        <v>1.2</v>
      </c>
      <c r="G148" s="15">
        <f t="shared" si="15"/>
        <v>49.8</v>
      </c>
      <c r="H148" s="4" t="s">
        <v>20</v>
      </c>
    </row>
    <row r="149" spans="1:8" x14ac:dyDescent="0.25">
      <c r="A149" t="s">
        <v>23</v>
      </c>
      <c r="B149" t="s">
        <v>80</v>
      </c>
      <c r="C149" s="4" t="s">
        <v>22</v>
      </c>
      <c r="D149" s="3">
        <f t="shared" si="16"/>
        <v>5</v>
      </c>
      <c r="E149" s="15">
        <v>49.6</v>
      </c>
      <c r="F149" s="15">
        <v>1.3</v>
      </c>
      <c r="G149" s="15">
        <f t="shared" si="15"/>
        <v>48.300000000000004</v>
      </c>
      <c r="H149" s="4" t="s">
        <v>20</v>
      </c>
    </row>
    <row r="150" spans="1:8" x14ac:dyDescent="0.25">
      <c r="A150" t="s">
        <v>23</v>
      </c>
      <c r="B150" t="s">
        <v>80</v>
      </c>
      <c r="C150" s="4" t="s">
        <v>22</v>
      </c>
      <c r="D150" s="3">
        <f t="shared" si="16"/>
        <v>6</v>
      </c>
      <c r="E150" s="15">
        <v>50</v>
      </c>
      <c r="F150" s="15">
        <v>1.3</v>
      </c>
      <c r="G150" s="15">
        <f t="shared" si="15"/>
        <v>48.7</v>
      </c>
      <c r="H150" s="4" t="s">
        <v>20</v>
      </c>
    </row>
    <row r="151" spans="1:8" x14ac:dyDescent="0.25">
      <c r="A151" t="s">
        <v>23</v>
      </c>
      <c r="B151" t="s">
        <v>80</v>
      </c>
      <c r="C151" s="4" t="s">
        <v>22</v>
      </c>
      <c r="D151" s="3">
        <f t="shared" si="16"/>
        <v>7</v>
      </c>
      <c r="E151" s="15">
        <v>49.2</v>
      </c>
      <c r="F151" s="15">
        <v>1</v>
      </c>
      <c r="G151" s="15">
        <f t="shared" si="15"/>
        <v>48.2</v>
      </c>
      <c r="H151" s="4" t="s">
        <v>20</v>
      </c>
    </row>
    <row r="152" spans="1:8" x14ac:dyDescent="0.25">
      <c r="A152" t="s">
        <v>23</v>
      </c>
      <c r="B152" t="s">
        <v>80</v>
      </c>
      <c r="C152" s="4" t="s">
        <v>22</v>
      </c>
      <c r="D152" s="3">
        <f t="shared" si="16"/>
        <v>8</v>
      </c>
      <c r="E152" s="15">
        <v>53.3</v>
      </c>
      <c r="F152" s="15">
        <v>0.9</v>
      </c>
      <c r="G152" s="15">
        <f t="shared" si="15"/>
        <v>52.4</v>
      </c>
      <c r="H152" s="4" t="s">
        <v>20</v>
      </c>
    </row>
    <row r="153" spans="1:8" x14ac:dyDescent="0.25">
      <c r="A153" t="s">
        <v>23</v>
      </c>
      <c r="B153" t="s">
        <v>80</v>
      </c>
      <c r="C153" s="4" t="s">
        <v>22</v>
      </c>
      <c r="D153" s="3">
        <f t="shared" si="16"/>
        <v>9</v>
      </c>
      <c r="E153" s="15">
        <v>48.7</v>
      </c>
      <c r="F153" s="15">
        <v>0.9</v>
      </c>
      <c r="G153" s="15">
        <f t="shared" si="15"/>
        <v>47.800000000000004</v>
      </c>
      <c r="H153" s="4" t="s">
        <v>20</v>
      </c>
    </row>
    <row r="154" spans="1:8" ht="15.75" thickBot="1" x14ac:dyDescent="0.3">
      <c r="A154" t="s">
        <v>23</v>
      </c>
      <c r="B154" t="s">
        <v>80</v>
      </c>
      <c r="C154" s="4" t="s">
        <v>22</v>
      </c>
      <c r="D154" s="3">
        <f t="shared" si="16"/>
        <v>10</v>
      </c>
      <c r="E154" s="15">
        <v>48.5</v>
      </c>
      <c r="F154" s="15">
        <v>1.2</v>
      </c>
      <c r="G154" s="15">
        <f t="shared" si="15"/>
        <v>47.3</v>
      </c>
      <c r="H154" s="4" t="s">
        <v>20</v>
      </c>
    </row>
    <row r="155" spans="1:8" ht="16.5" thickTop="1" thickBot="1" x14ac:dyDescent="0.3">
      <c r="A155" s="75" t="s">
        <v>27</v>
      </c>
      <c r="B155" s="75"/>
      <c r="C155" s="75"/>
      <c r="D155" s="12">
        <f>D154</f>
        <v>10</v>
      </c>
      <c r="E155" s="14">
        <f>SUM(E145:E154)</f>
        <v>501.59999999999997</v>
      </c>
      <c r="F155" s="14">
        <f>SUM(F145:F154)</f>
        <v>11.399999999999999</v>
      </c>
      <c r="G155" s="14">
        <f>SUM(G145:G154)</f>
        <v>490.2</v>
      </c>
      <c r="H155" s="13"/>
    </row>
    <row r="156" spans="1:8" ht="6" customHeight="1" thickTop="1" x14ac:dyDescent="0.25"/>
    <row r="157" spans="1:8" ht="15.75" thickBot="1" x14ac:dyDescent="0.3">
      <c r="A157" s="1" t="s">
        <v>29</v>
      </c>
    </row>
    <row r="158" spans="1:8" ht="33" customHeight="1" thickTop="1" thickBot="1" x14ac:dyDescent="0.3">
      <c r="A158" s="9" t="s">
        <v>7</v>
      </c>
      <c r="B158" s="9" t="s">
        <v>2</v>
      </c>
      <c r="C158" s="10" t="s">
        <v>6</v>
      </c>
      <c r="D158" s="11" t="s">
        <v>30</v>
      </c>
      <c r="E158" s="11" t="s">
        <v>31</v>
      </c>
      <c r="F158" s="11" t="s">
        <v>32</v>
      </c>
      <c r="G158" s="11" t="s">
        <v>33</v>
      </c>
      <c r="H158" s="11" t="s">
        <v>37</v>
      </c>
    </row>
    <row r="159" spans="1:8" ht="16.5" thickTop="1" thickBot="1" x14ac:dyDescent="0.3">
      <c r="A159" t="s">
        <v>23</v>
      </c>
      <c r="B159" s="31" t="str">
        <f>B153</f>
        <v>LOMBOK '25</v>
      </c>
      <c r="C159" s="4" t="s">
        <v>22</v>
      </c>
      <c r="D159" s="15">
        <v>334.7</v>
      </c>
      <c r="E159" s="15">
        <v>144.9</v>
      </c>
      <c r="F159" s="15">
        <v>5.4</v>
      </c>
      <c r="G159" s="15">
        <f>G155-(D159+E159+F159)</f>
        <v>5.1999999999999886</v>
      </c>
      <c r="H159" s="15">
        <f>SUM(D159:G159)</f>
        <v>490.2</v>
      </c>
    </row>
    <row r="160" spans="1:8" ht="16.5" thickTop="1" thickBot="1" x14ac:dyDescent="0.3">
      <c r="A160" s="77" t="s">
        <v>52</v>
      </c>
      <c r="B160" s="77"/>
      <c r="C160" s="77"/>
      <c r="D160" s="20">
        <f>D159/$G$155</f>
        <v>0.6827825377396981</v>
      </c>
      <c r="E160" s="23">
        <f>E159/$G$155</f>
        <v>0.29559363525091803</v>
      </c>
      <c r="F160" s="23">
        <f>F159/$G$155</f>
        <v>1.1015911872705019E-2</v>
      </c>
      <c r="G160" s="23">
        <f>G159/$G$155</f>
        <v>1.0607915136678884E-2</v>
      </c>
      <c r="H160" s="17">
        <f>SUM(D160:G160)</f>
        <v>1</v>
      </c>
    </row>
    <row r="161" spans="1:1" ht="15.75" thickTop="1" x14ac:dyDescent="0.25">
      <c r="A161" s="19" t="s">
        <v>16</v>
      </c>
    </row>
    <row r="162" spans="1:1" ht="10.5" customHeight="1" x14ac:dyDescent="0.25">
      <c r="A162" s="7" t="s">
        <v>36</v>
      </c>
    </row>
    <row r="163" spans="1:1" ht="10.5" customHeight="1" x14ac:dyDescent="0.25">
      <c r="A163" s="7" t="s">
        <v>35</v>
      </c>
    </row>
    <row r="164" spans="1:1" ht="10.5" customHeight="1" x14ac:dyDescent="0.25">
      <c r="A164" s="7" t="s">
        <v>34</v>
      </c>
    </row>
    <row r="165" spans="1:1" ht="10.5" customHeight="1" x14ac:dyDescent="0.25">
      <c r="A165" s="7" t="s">
        <v>50</v>
      </c>
    </row>
    <row r="166" spans="1:1" ht="5.25" customHeight="1" x14ac:dyDescent="0.25"/>
  </sheetData>
  <mergeCells count="12">
    <mergeCell ref="A83:C83"/>
    <mergeCell ref="A1:H1"/>
    <mergeCell ref="A17:H17"/>
    <mergeCell ref="A47:C47"/>
    <mergeCell ref="A52:C52"/>
    <mergeCell ref="A78:C78"/>
    <mergeCell ref="A131:C131"/>
    <mergeCell ref="A136:C136"/>
    <mergeCell ref="A155:C155"/>
    <mergeCell ref="A160:C160"/>
    <mergeCell ref="A107:C107"/>
    <mergeCell ref="A112:C112"/>
  </mergeCells>
  <pageMargins left="0" right="0" top="0" bottom="0" header="0" footer="0"/>
  <pageSetup paperSize="346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7BC7-3A40-4943-BB00-A0FA1EDDB9CB}">
  <sheetPr>
    <tabColor rgb="FF00B050"/>
  </sheetPr>
  <dimension ref="A1:N137"/>
  <sheetViews>
    <sheetView showGridLines="0" topLeftCell="A97" workbookViewId="0">
      <selection activeCell="A6" sqref="A6:XFD9"/>
    </sheetView>
  </sheetViews>
  <sheetFormatPr defaultRowHeight="15" x14ac:dyDescent="0.25"/>
  <cols>
    <col min="1" max="1" width="12.7109375" customWidth="1"/>
    <col min="2" max="2" width="15" customWidth="1"/>
    <col min="3" max="3" width="9.7109375" customWidth="1"/>
    <col min="4" max="4" width="8.85546875" customWidth="1"/>
    <col min="5" max="5" width="8.85546875" style="3" customWidth="1"/>
    <col min="6" max="6" width="9.28515625" customWidth="1"/>
    <col min="7" max="7" width="10.140625" customWidth="1"/>
    <col min="8" max="8" width="14.42578125" customWidth="1"/>
    <col min="9" max="9" width="13.28515625" customWidth="1"/>
    <col min="11" max="11" width="0" hidden="1" customWidth="1"/>
    <col min="12" max="12" width="0" style="3" hidden="1" customWidth="1"/>
    <col min="13" max="15" width="0" hidden="1" customWidth="1"/>
  </cols>
  <sheetData>
    <row r="1" spans="1:13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3" x14ac:dyDescent="0.25">
      <c r="A3" s="8" t="s">
        <v>63</v>
      </c>
    </row>
    <row r="4" spans="1:13" x14ac:dyDescent="0.25">
      <c r="A4" s="1" t="s">
        <v>0</v>
      </c>
      <c r="B4" t="s">
        <v>49</v>
      </c>
      <c r="H4" s="22" t="s">
        <v>58</v>
      </c>
      <c r="I4" s="21">
        <v>46199</v>
      </c>
    </row>
    <row r="5" spans="1:13" ht="4.5" customHeight="1" thickBot="1" x14ac:dyDescent="0.3"/>
    <row r="6" spans="1:13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4"/>
    </row>
    <row r="7" spans="1:13" ht="15.75" thickTop="1" x14ac:dyDescent="0.25">
      <c r="A7" s="5" t="s">
        <v>1</v>
      </c>
      <c r="B7" s="5" t="s">
        <v>76</v>
      </c>
      <c r="C7" s="4">
        <v>20</v>
      </c>
      <c r="D7" s="4" t="s">
        <v>22</v>
      </c>
      <c r="E7" s="15">
        <v>1013.4</v>
      </c>
      <c r="F7" s="15">
        <v>22.500000000000004</v>
      </c>
      <c r="G7" s="15">
        <f>E7-F7</f>
        <v>990.9</v>
      </c>
      <c r="H7" s="6">
        <v>46184</v>
      </c>
      <c r="I7" s="6" t="s">
        <v>20</v>
      </c>
      <c r="L7" s="3">
        <v>20</v>
      </c>
    </row>
    <row r="8" spans="1:13" x14ac:dyDescent="0.25">
      <c r="A8" s="5" t="s">
        <v>1</v>
      </c>
      <c r="B8" s="5" t="s">
        <v>77</v>
      </c>
      <c r="C8" s="4">
        <v>22</v>
      </c>
      <c r="D8" s="4" t="s">
        <v>22</v>
      </c>
      <c r="E8" s="15">
        <v>1087.5999999999999</v>
      </c>
      <c r="F8" s="15">
        <v>27.700000000000003</v>
      </c>
      <c r="G8" s="15">
        <f t="shared" ref="G8:G11" si="0">E8-F8</f>
        <v>1059.8999999999999</v>
      </c>
      <c r="H8" s="6">
        <v>46184</v>
      </c>
      <c r="I8" s="6" t="s">
        <v>20</v>
      </c>
      <c r="L8" s="3">
        <v>22</v>
      </c>
      <c r="M8">
        <f>E8*0.95%</f>
        <v>10.332199999999998</v>
      </c>
    </row>
    <row r="9" spans="1:13" x14ac:dyDescent="0.25">
      <c r="A9" s="5" t="s">
        <v>1</v>
      </c>
      <c r="B9" s="5" t="s">
        <v>78</v>
      </c>
      <c r="C9" s="4">
        <v>17</v>
      </c>
      <c r="D9" s="4" t="s">
        <v>22</v>
      </c>
      <c r="E9" s="15">
        <v>843.3</v>
      </c>
      <c r="F9" s="15">
        <v>20.200000000000003</v>
      </c>
      <c r="G9" s="15">
        <f t="shared" si="0"/>
        <v>823.09999999999991</v>
      </c>
      <c r="H9" s="6">
        <v>46184</v>
      </c>
      <c r="I9" s="6" t="s">
        <v>20</v>
      </c>
      <c r="L9" s="3">
        <v>17</v>
      </c>
      <c r="M9">
        <f>E9*0.95%</f>
        <v>8.0113500000000002</v>
      </c>
    </row>
    <row r="10" spans="1:13" hidden="1" x14ac:dyDescent="0.25">
      <c r="A10" s="5" t="s">
        <v>1</v>
      </c>
      <c r="B10" s="5" t="s">
        <v>12</v>
      </c>
      <c r="C10" s="4"/>
      <c r="D10" s="4" t="s">
        <v>14</v>
      </c>
      <c r="E10" s="15">
        <v>784.4</v>
      </c>
      <c r="F10" s="15">
        <v>122.4</v>
      </c>
      <c r="G10" s="15">
        <f t="shared" si="0"/>
        <v>662</v>
      </c>
      <c r="H10" s="6">
        <v>46179</v>
      </c>
      <c r="I10" s="6" t="s">
        <v>20</v>
      </c>
    </row>
    <row r="11" spans="1:13" hidden="1" x14ac:dyDescent="0.25">
      <c r="A11" s="5" t="s">
        <v>1</v>
      </c>
      <c r="B11" s="5" t="s">
        <v>13</v>
      </c>
      <c r="C11" s="4"/>
      <c r="D11" s="4" t="s">
        <v>61</v>
      </c>
      <c r="E11" s="15">
        <v>695.8</v>
      </c>
      <c r="F11" s="15">
        <v>5.6</v>
      </c>
      <c r="G11" s="15">
        <f t="shared" si="0"/>
        <v>690.19999999999993</v>
      </c>
      <c r="H11" s="6">
        <v>46179</v>
      </c>
      <c r="I11" s="6" t="s">
        <v>20</v>
      </c>
    </row>
    <row r="12" spans="1:13" x14ac:dyDescent="0.25">
      <c r="A12" s="19" t="s">
        <v>16</v>
      </c>
    </row>
    <row r="13" spans="1:13" ht="10.5" customHeight="1" x14ac:dyDescent="0.25">
      <c r="A13" s="7" t="s">
        <v>98</v>
      </c>
    </row>
    <row r="14" spans="1:13" ht="12.75" customHeight="1" x14ac:dyDescent="0.25">
      <c r="A14" s="7" t="s">
        <v>17</v>
      </c>
    </row>
    <row r="15" spans="1:13" ht="5.25" customHeight="1" x14ac:dyDescent="0.25"/>
    <row r="16" spans="1:13" x14ac:dyDescent="0.25">
      <c r="A16" s="72" t="s">
        <v>28</v>
      </c>
      <c r="B16" s="72"/>
      <c r="C16" s="72"/>
      <c r="D16" s="72"/>
      <c r="E16" s="72"/>
      <c r="F16" s="72"/>
      <c r="G16" s="72"/>
      <c r="H16" s="72"/>
      <c r="I16" s="72"/>
    </row>
    <row r="17" spans="1:9" ht="23.25" customHeight="1" thickBot="1" x14ac:dyDescent="0.3">
      <c r="A17" s="1" t="s">
        <v>123</v>
      </c>
      <c r="B17" s="1"/>
      <c r="C17" s="1"/>
    </row>
    <row r="18" spans="1:9" ht="16.5" thickTop="1" thickBot="1" x14ac:dyDescent="0.3">
      <c r="A18" s="9" t="s">
        <v>7</v>
      </c>
      <c r="B18" s="9" t="s">
        <v>2</v>
      </c>
      <c r="C18" s="73" t="s">
        <v>6</v>
      </c>
      <c r="D18" s="73"/>
      <c r="E18" s="10" t="s">
        <v>25</v>
      </c>
      <c r="F18" s="10" t="s">
        <v>3</v>
      </c>
      <c r="G18" s="10" t="s">
        <v>4</v>
      </c>
      <c r="H18" s="10" t="s">
        <v>5</v>
      </c>
      <c r="I18" s="11" t="s">
        <v>26</v>
      </c>
    </row>
    <row r="19" spans="1:9" ht="15.75" thickTop="1" x14ac:dyDescent="0.25">
      <c r="A19" t="s">
        <v>23</v>
      </c>
      <c r="B19" s="5" t="s">
        <v>76</v>
      </c>
      <c r="C19" s="81" t="s">
        <v>22</v>
      </c>
      <c r="D19" s="81"/>
      <c r="E19" s="3">
        <v>1</v>
      </c>
      <c r="F19" s="15">
        <v>52.4</v>
      </c>
      <c r="G19" s="15">
        <v>1</v>
      </c>
      <c r="H19" s="15">
        <f>F19-G19</f>
        <v>51.4</v>
      </c>
      <c r="I19" s="4" t="s">
        <v>20</v>
      </c>
    </row>
    <row r="20" spans="1:9" x14ac:dyDescent="0.25">
      <c r="A20" t="s">
        <v>23</v>
      </c>
      <c r="B20" s="5" t="s">
        <v>76</v>
      </c>
      <c r="C20" s="70" t="s">
        <v>22</v>
      </c>
      <c r="D20" s="70"/>
      <c r="E20" s="3">
        <f>E19+1</f>
        <v>2</v>
      </c>
      <c r="F20" s="15">
        <v>50.9</v>
      </c>
      <c r="G20" s="15">
        <v>1</v>
      </c>
      <c r="H20" s="15">
        <f t="shared" ref="H20:H29" si="1">F20-G20</f>
        <v>49.9</v>
      </c>
      <c r="I20" s="4" t="s">
        <v>20</v>
      </c>
    </row>
    <row r="21" spans="1:9" x14ac:dyDescent="0.25">
      <c r="A21" t="s">
        <v>23</v>
      </c>
      <c r="B21" s="5" t="s">
        <v>76</v>
      </c>
      <c r="C21" s="70" t="s">
        <v>22</v>
      </c>
      <c r="D21" s="70"/>
      <c r="E21" s="3">
        <f t="shared" ref="E21:E38" si="2">E20+1</f>
        <v>3</v>
      </c>
      <c r="F21" s="15">
        <v>48.3</v>
      </c>
      <c r="G21" s="15">
        <v>1.5</v>
      </c>
      <c r="H21" s="15">
        <f t="shared" si="1"/>
        <v>46.8</v>
      </c>
      <c r="I21" s="4" t="s">
        <v>20</v>
      </c>
    </row>
    <row r="22" spans="1:9" x14ac:dyDescent="0.25">
      <c r="A22" t="s">
        <v>23</v>
      </c>
      <c r="B22" s="5" t="s">
        <v>76</v>
      </c>
      <c r="C22" s="70" t="s">
        <v>22</v>
      </c>
      <c r="D22" s="70"/>
      <c r="E22" s="3">
        <f t="shared" si="2"/>
        <v>4</v>
      </c>
      <c r="F22" s="15">
        <v>52.2</v>
      </c>
      <c r="G22" s="15">
        <v>1</v>
      </c>
      <c r="H22" s="15">
        <f t="shared" si="1"/>
        <v>51.2</v>
      </c>
      <c r="I22" s="4" t="s">
        <v>20</v>
      </c>
    </row>
    <row r="23" spans="1:9" x14ac:dyDescent="0.25">
      <c r="A23" t="s">
        <v>23</v>
      </c>
      <c r="B23" s="5" t="s">
        <v>76</v>
      </c>
      <c r="C23" s="70" t="s">
        <v>22</v>
      </c>
      <c r="D23" s="70"/>
      <c r="E23" s="3">
        <f t="shared" si="2"/>
        <v>5</v>
      </c>
      <c r="F23" s="15">
        <v>51.6</v>
      </c>
      <c r="G23" s="15">
        <v>1.4</v>
      </c>
      <c r="H23" s="15">
        <f t="shared" si="1"/>
        <v>50.2</v>
      </c>
      <c r="I23" s="4" t="s">
        <v>20</v>
      </c>
    </row>
    <row r="24" spans="1:9" x14ac:dyDescent="0.25">
      <c r="A24" t="s">
        <v>23</v>
      </c>
      <c r="B24" s="5" t="s">
        <v>76</v>
      </c>
      <c r="C24" s="70" t="s">
        <v>22</v>
      </c>
      <c r="D24" s="70"/>
      <c r="E24" s="3">
        <f t="shared" si="2"/>
        <v>6</v>
      </c>
      <c r="F24" s="15">
        <v>52.3</v>
      </c>
      <c r="G24" s="15">
        <v>1.5</v>
      </c>
      <c r="H24" s="15">
        <f t="shared" si="1"/>
        <v>50.8</v>
      </c>
      <c r="I24" s="4" t="s">
        <v>20</v>
      </c>
    </row>
    <row r="25" spans="1:9" x14ac:dyDescent="0.25">
      <c r="A25" t="s">
        <v>23</v>
      </c>
      <c r="B25" s="5" t="s">
        <v>76</v>
      </c>
      <c r="C25" s="70" t="s">
        <v>22</v>
      </c>
      <c r="D25" s="70"/>
      <c r="E25" s="3">
        <f t="shared" si="2"/>
        <v>7</v>
      </c>
      <c r="F25" s="15">
        <v>51.1</v>
      </c>
      <c r="G25" s="15">
        <v>1</v>
      </c>
      <c r="H25" s="15">
        <f t="shared" si="1"/>
        <v>50.1</v>
      </c>
      <c r="I25" s="4" t="s">
        <v>20</v>
      </c>
    </row>
    <row r="26" spans="1:9" x14ac:dyDescent="0.25">
      <c r="A26" t="s">
        <v>23</v>
      </c>
      <c r="B26" s="5" t="s">
        <v>76</v>
      </c>
      <c r="C26" s="70" t="s">
        <v>22</v>
      </c>
      <c r="D26" s="70"/>
      <c r="E26" s="3">
        <f t="shared" si="2"/>
        <v>8</v>
      </c>
      <c r="F26" s="15">
        <v>48.9</v>
      </c>
      <c r="G26" s="15">
        <v>1</v>
      </c>
      <c r="H26" s="15">
        <f t="shared" si="1"/>
        <v>47.9</v>
      </c>
      <c r="I26" s="4" t="s">
        <v>20</v>
      </c>
    </row>
    <row r="27" spans="1:9" x14ac:dyDescent="0.25">
      <c r="A27" t="s">
        <v>23</v>
      </c>
      <c r="B27" s="5" t="s">
        <v>76</v>
      </c>
      <c r="C27" s="70" t="s">
        <v>22</v>
      </c>
      <c r="D27" s="70"/>
      <c r="E27" s="3">
        <f t="shared" si="2"/>
        <v>9</v>
      </c>
      <c r="F27" s="15">
        <v>48.7</v>
      </c>
      <c r="G27" s="15">
        <v>1.3</v>
      </c>
      <c r="H27" s="15">
        <f t="shared" si="1"/>
        <v>47.400000000000006</v>
      </c>
      <c r="I27" s="4" t="s">
        <v>20</v>
      </c>
    </row>
    <row r="28" spans="1:9" x14ac:dyDescent="0.25">
      <c r="A28" t="s">
        <v>23</v>
      </c>
      <c r="B28" s="5" t="s">
        <v>76</v>
      </c>
      <c r="C28" s="70" t="s">
        <v>22</v>
      </c>
      <c r="D28" s="70"/>
      <c r="E28" s="3">
        <f t="shared" si="2"/>
        <v>10</v>
      </c>
      <c r="F28" s="15">
        <v>53.9</v>
      </c>
      <c r="G28" s="15">
        <v>1.2</v>
      </c>
      <c r="H28" s="15">
        <f t="shared" si="1"/>
        <v>52.699999999999996</v>
      </c>
      <c r="I28" s="4" t="s">
        <v>20</v>
      </c>
    </row>
    <row r="29" spans="1:9" x14ac:dyDescent="0.25">
      <c r="A29" t="s">
        <v>23</v>
      </c>
      <c r="B29" s="5" t="s">
        <v>76</v>
      </c>
      <c r="C29" s="70" t="s">
        <v>22</v>
      </c>
      <c r="D29" s="70"/>
      <c r="E29" s="3">
        <f t="shared" si="2"/>
        <v>11</v>
      </c>
      <c r="F29" s="15">
        <v>51.8</v>
      </c>
      <c r="G29" s="15">
        <v>1.1000000000000001</v>
      </c>
      <c r="H29" s="15">
        <f t="shared" si="1"/>
        <v>50.699999999999996</v>
      </c>
      <c r="I29" s="4" t="s">
        <v>20</v>
      </c>
    </row>
    <row r="30" spans="1:9" x14ac:dyDescent="0.25">
      <c r="A30" t="s">
        <v>23</v>
      </c>
      <c r="B30" s="5" t="s">
        <v>76</v>
      </c>
      <c r="C30" s="70" t="s">
        <v>22</v>
      </c>
      <c r="D30" s="70"/>
      <c r="E30" s="3">
        <f t="shared" si="2"/>
        <v>12</v>
      </c>
      <c r="F30" s="15">
        <v>50.5</v>
      </c>
      <c r="G30" s="15">
        <v>1.1000000000000001</v>
      </c>
      <c r="H30" s="15">
        <f t="shared" ref="H30:H38" si="3">F30-G30</f>
        <v>49.4</v>
      </c>
      <c r="I30" s="4" t="s">
        <v>20</v>
      </c>
    </row>
    <row r="31" spans="1:9" x14ac:dyDescent="0.25">
      <c r="A31" t="s">
        <v>23</v>
      </c>
      <c r="B31" s="5" t="s">
        <v>76</v>
      </c>
      <c r="C31" s="70" t="s">
        <v>22</v>
      </c>
      <c r="D31" s="70"/>
      <c r="E31" s="3">
        <f t="shared" si="2"/>
        <v>13</v>
      </c>
      <c r="F31" s="15">
        <v>51.5</v>
      </c>
      <c r="G31" s="15">
        <v>1.1000000000000001</v>
      </c>
      <c r="H31" s="15">
        <f t="shared" si="3"/>
        <v>50.4</v>
      </c>
      <c r="I31" s="4" t="s">
        <v>20</v>
      </c>
    </row>
    <row r="32" spans="1:9" x14ac:dyDescent="0.25">
      <c r="A32" t="s">
        <v>23</v>
      </c>
      <c r="B32" s="5" t="s">
        <v>76</v>
      </c>
      <c r="C32" s="70" t="s">
        <v>22</v>
      </c>
      <c r="D32" s="70"/>
      <c r="E32" s="3">
        <f t="shared" si="2"/>
        <v>14</v>
      </c>
      <c r="F32" s="15">
        <v>50</v>
      </c>
      <c r="G32" s="15">
        <v>1</v>
      </c>
      <c r="H32" s="15">
        <f t="shared" si="3"/>
        <v>49</v>
      </c>
      <c r="I32" s="4" t="s">
        <v>20</v>
      </c>
    </row>
    <row r="33" spans="1:11" x14ac:dyDescent="0.25">
      <c r="A33" t="s">
        <v>23</v>
      </c>
      <c r="B33" s="5" t="s">
        <v>76</v>
      </c>
      <c r="C33" s="70" t="s">
        <v>22</v>
      </c>
      <c r="D33" s="70"/>
      <c r="E33" s="3">
        <f t="shared" si="2"/>
        <v>15</v>
      </c>
      <c r="F33" s="15">
        <v>50.6</v>
      </c>
      <c r="G33" s="15">
        <v>1.3</v>
      </c>
      <c r="H33" s="15">
        <f t="shared" si="3"/>
        <v>49.300000000000004</v>
      </c>
      <c r="I33" s="4" t="s">
        <v>20</v>
      </c>
    </row>
    <row r="34" spans="1:11" x14ac:dyDescent="0.25">
      <c r="A34" t="s">
        <v>23</v>
      </c>
      <c r="B34" s="5" t="s">
        <v>76</v>
      </c>
      <c r="C34" s="70" t="s">
        <v>22</v>
      </c>
      <c r="D34" s="70"/>
      <c r="E34" s="3">
        <f t="shared" si="2"/>
        <v>16</v>
      </c>
      <c r="F34" s="15">
        <v>51.2</v>
      </c>
      <c r="G34" s="15">
        <v>1</v>
      </c>
      <c r="H34" s="15">
        <f t="shared" si="3"/>
        <v>50.2</v>
      </c>
      <c r="I34" s="4" t="s">
        <v>20</v>
      </c>
    </row>
    <row r="35" spans="1:11" x14ac:dyDescent="0.25">
      <c r="A35" t="s">
        <v>23</v>
      </c>
      <c r="B35" s="5" t="s">
        <v>76</v>
      </c>
      <c r="C35" s="70" t="s">
        <v>22</v>
      </c>
      <c r="D35" s="70"/>
      <c r="E35" s="3">
        <f t="shared" si="2"/>
        <v>17</v>
      </c>
      <c r="F35" s="15">
        <v>50.1</v>
      </c>
      <c r="G35" s="15">
        <v>1.1000000000000001</v>
      </c>
      <c r="H35" s="15">
        <f t="shared" si="3"/>
        <v>49</v>
      </c>
      <c r="I35" s="4" t="s">
        <v>20</v>
      </c>
    </row>
    <row r="36" spans="1:11" x14ac:dyDescent="0.25">
      <c r="A36" t="s">
        <v>23</v>
      </c>
      <c r="B36" s="5" t="s">
        <v>76</v>
      </c>
      <c r="C36" s="70" t="s">
        <v>22</v>
      </c>
      <c r="D36" s="70"/>
      <c r="E36" s="3">
        <f t="shared" si="2"/>
        <v>18</v>
      </c>
      <c r="F36" s="15">
        <v>48.6</v>
      </c>
      <c r="G36" s="15">
        <v>1.1000000000000001</v>
      </c>
      <c r="H36" s="15">
        <f t="shared" si="3"/>
        <v>47.5</v>
      </c>
      <c r="I36" s="4" t="s">
        <v>20</v>
      </c>
    </row>
    <row r="37" spans="1:11" x14ac:dyDescent="0.25">
      <c r="A37" t="s">
        <v>23</v>
      </c>
      <c r="B37" s="5" t="s">
        <v>76</v>
      </c>
      <c r="C37" s="70" t="s">
        <v>22</v>
      </c>
      <c r="D37" s="70"/>
      <c r="E37" s="3">
        <f t="shared" si="2"/>
        <v>19</v>
      </c>
      <c r="F37" s="15">
        <v>50.1</v>
      </c>
      <c r="G37" s="15">
        <v>1</v>
      </c>
      <c r="H37" s="15">
        <f t="shared" si="3"/>
        <v>49.1</v>
      </c>
      <c r="I37" s="4" t="s">
        <v>20</v>
      </c>
    </row>
    <row r="38" spans="1:11" ht="15.75" thickBot="1" x14ac:dyDescent="0.3">
      <c r="A38" t="s">
        <v>23</v>
      </c>
      <c r="B38" s="5" t="s">
        <v>76</v>
      </c>
      <c r="C38" s="78" t="s">
        <v>22</v>
      </c>
      <c r="D38" s="78"/>
      <c r="E38" s="3">
        <f t="shared" si="2"/>
        <v>20</v>
      </c>
      <c r="F38" s="15">
        <v>50.5</v>
      </c>
      <c r="G38" s="15">
        <v>0.8</v>
      </c>
      <c r="H38" s="15">
        <f t="shared" si="3"/>
        <v>49.7</v>
      </c>
      <c r="I38" s="4" t="s">
        <v>20</v>
      </c>
    </row>
    <row r="39" spans="1:11" ht="16.5" thickTop="1" thickBot="1" x14ac:dyDescent="0.3">
      <c r="A39" s="75" t="s">
        <v>27</v>
      </c>
      <c r="B39" s="75"/>
      <c r="C39" s="75"/>
      <c r="D39" s="75"/>
      <c r="E39" s="12">
        <f>E38</f>
        <v>20</v>
      </c>
      <c r="F39" s="14">
        <f>SUM(F19:F38)</f>
        <v>1015.2</v>
      </c>
      <c r="G39" s="14">
        <f>SUM(G19:G38)</f>
        <v>22.500000000000004</v>
      </c>
      <c r="H39" s="14">
        <f>SUM(H19:H38)</f>
        <v>992.7</v>
      </c>
      <c r="I39" s="13"/>
      <c r="K39" s="27">
        <f>E7-F39</f>
        <v>-1.8000000000000682</v>
      </c>
    </row>
    <row r="40" spans="1:11" ht="6.75" customHeight="1" thickTop="1" x14ac:dyDescent="0.25"/>
    <row r="41" spans="1:11" ht="15.75" thickBot="1" x14ac:dyDescent="0.3">
      <c r="A41" s="1" t="s">
        <v>29</v>
      </c>
    </row>
    <row r="42" spans="1:11" ht="30" customHeight="1" thickTop="1" thickBot="1" x14ac:dyDescent="0.3">
      <c r="A42" s="9" t="s">
        <v>7</v>
      </c>
      <c r="B42" s="9" t="s">
        <v>2</v>
      </c>
      <c r="C42" s="73" t="s">
        <v>6</v>
      </c>
      <c r="D42" s="73"/>
      <c r="E42" s="11" t="s">
        <v>30</v>
      </c>
      <c r="F42" s="11" t="s">
        <v>31</v>
      </c>
      <c r="G42" s="11" t="s">
        <v>32</v>
      </c>
      <c r="H42" s="11" t="s">
        <v>33</v>
      </c>
      <c r="I42" s="11" t="s">
        <v>37</v>
      </c>
    </row>
    <row r="43" spans="1:11" ht="16.5" thickTop="1" thickBot="1" x14ac:dyDescent="0.3">
      <c r="A43" t="s">
        <v>23</v>
      </c>
      <c r="B43" t="s">
        <v>76</v>
      </c>
      <c r="C43" s="76" t="s">
        <v>22</v>
      </c>
      <c r="D43" s="76"/>
      <c r="E43" s="15">
        <f>614.8+50</f>
        <v>664.8</v>
      </c>
      <c r="F43" s="15">
        <v>306.2</v>
      </c>
      <c r="G43" s="15">
        <v>10.7</v>
      </c>
      <c r="H43" s="15">
        <f>IF(E43="","",(H39-E43-F43-G43))</f>
        <v>11.000000000000103</v>
      </c>
      <c r="I43" s="15">
        <f>IF(E43="","",SUM(E43:H43))</f>
        <v>992.70000000000016</v>
      </c>
    </row>
    <row r="44" spans="1:11" ht="16.5" thickTop="1" thickBot="1" x14ac:dyDescent="0.3">
      <c r="A44" s="77" t="s">
        <v>52</v>
      </c>
      <c r="B44" s="77"/>
      <c r="C44" s="77"/>
      <c r="D44" s="77"/>
      <c r="E44" s="20">
        <f>IF(E43="","",E43/$H$39)</f>
        <v>0.6696887277122997</v>
      </c>
      <c r="F44" s="32">
        <f t="shared" ref="F44:H44" si="4">IF(F43="","",F43/$H$39)</f>
        <v>0.30845169739095396</v>
      </c>
      <c r="G44" s="32">
        <f t="shared" si="4"/>
        <v>1.0778684396091467E-2</v>
      </c>
      <c r="H44" s="32">
        <f t="shared" si="4"/>
        <v>1.1080890500654883E-2</v>
      </c>
      <c r="I44" s="17">
        <f>IF(I43="","",SUM(E44:H44))</f>
        <v>1</v>
      </c>
    </row>
    <row r="45" spans="1:11" ht="15.75" thickTop="1" x14ac:dyDescent="0.25">
      <c r="A45" s="19" t="s">
        <v>16</v>
      </c>
    </row>
    <row r="46" spans="1:11" ht="9.9499999999999993" customHeight="1" x14ac:dyDescent="0.25">
      <c r="A46" s="7" t="s">
        <v>36</v>
      </c>
    </row>
    <row r="47" spans="1:11" ht="9.9499999999999993" customHeight="1" x14ac:dyDescent="0.25">
      <c r="A47" s="7" t="s">
        <v>35</v>
      </c>
    </row>
    <row r="48" spans="1:11" ht="9.9499999999999993" customHeight="1" x14ac:dyDescent="0.25">
      <c r="A48" s="7" t="s">
        <v>34</v>
      </c>
    </row>
    <row r="49" spans="1:9" ht="9.9499999999999993" customHeight="1" x14ac:dyDescent="0.25">
      <c r="A49" s="7" t="s">
        <v>50</v>
      </c>
    </row>
    <row r="50" spans="1:9" ht="6" customHeight="1" x14ac:dyDescent="0.25"/>
    <row r="51" spans="1:9" ht="15.75" thickBot="1" x14ac:dyDescent="0.3">
      <c r="A51" s="1" t="s">
        <v>124</v>
      </c>
      <c r="B51" s="1"/>
      <c r="C51" s="1"/>
    </row>
    <row r="52" spans="1:9" ht="16.5" thickTop="1" thickBot="1" x14ac:dyDescent="0.3">
      <c r="A52" s="9" t="s">
        <v>7</v>
      </c>
      <c r="B52" s="9" t="s">
        <v>2</v>
      </c>
      <c r="C52" s="73" t="s">
        <v>6</v>
      </c>
      <c r="D52" s="73"/>
      <c r="E52" s="10" t="s">
        <v>25</v>
      </c>
      <c r="F52" s="10" t="s">
        <v>3</v>
      </c>
      <c r="G52" s="10" t="s">
        <v>4</v>
      </c>
      <c r="H52" s="10" t="s">
        <v>5</v>
      </c>
      <c r="I52" s="11" t="s">
        <v>26</v>
      </c>
    </row>
    <row r="53" spans="1:9" ht="15.75" thickTop="1" x14ac:dyDescent="0.25">
      <c r="A53" t="s">
        <v>23</v>
      </c>
      <c r="B53" t="s">
        <v>77</v>
      </c>
      <c r="C53" s="81" t="s">
        <v>22</v>
      </c>
      <c r="D53" s="81"/>
      <c r="E53" s="3">
        <v>1</v>
      </c>
      <c r="F53" s="15">
        <v>51.9</v>
      </c>
      <c r="G53" s="15">
        <v>1.3</v>
      </c>
      <c r="H53" s="15">
        <f>F53-G53</f>
        <v>50.6</v>
      </c>
      <c r="I53" s="4" t="s">
        <v>20</v>
      </c>
    </row>
    <row r="54" spans="1:9" x14ac:dyDescent="0.25">
      <c r="A54" t="s">
        <v>23</v>
      </c>
      <c r="B54" t="s">
        <v>77</v>
      </c>
      <c r="C54" s="70" t="s">
        <v>22</v>
      </c>
      <c r="D54" s="70"/>
      <c r="E54" s="3">
        <f>E53+1</f>
        <v>2</v>
      </c>
      <c r="F54" s="15">
        <v>49.2</v>
      </c>
      <c r="G54" s="15">
        <v>1.2</v>
      </c>
      <c r="H54" s="15">
        <f t="shared" ref="H54:H74" si="5">F54-G54</f>
        <v>48</v>
      </c>
      <c r="I54" s="4" t="s">
        <v>20</v>
      </c>
    </row>
    <row r="55" spans="1:9" x14ac:dyDescent="0.25">
      <c r="A55" t="s">
        <v>23</v>
      </c>
      <c r="B55" t="s">
        <v>77</v>
      </c>
      <c r="C55" s="70" t="s">
        <v>22</v>
      </c>
      <c r="D55" s="70"/>
      <c r="E55" s="3">
        <f t="shared" ref="E55:E74" si="6">E54+1</f>
        <v>3</v>
      </c>
      <c r="F55" s="15">
        <v>50.7</v>
      </c>
      <c r="G55" s="15">
        <v>1.1000000000000001</v>
      </c>
      <c r="H55" s="15">
        <f t="shared" si="5"/>
        <v>49.6</v>
      </c>
      <c r="I55" s="4" t="s">
        <v>20</v>
      </c>
    </row>
    <row r="56" spans="1:9" x14ac:dyDescent="0.25">
      <c r="A56" t="s">
        <v>23</v>
      </c>
      <c r="B56" t="s">
        <v>77</v>
      </c>
      <c r="C56" s="70" t="s">
        <v>22</v>
      </c>
      <c r="D56" s="70"/>
      <c r="E56" s="3">
        <f t="shared" si="6"/>
        <v>4</v>
      </c>
      <c r="F56" s="15">
        <v>48.9</v>
      </c>
      <c r="G56" s="15">
        <v>1.2</v>
      </c>
      <c r="H56" s="15">
        <f t="shared" si="5"/>
        <v>47.699999999999996</v>
      </c>
      <c r="I56" s="4" t="s">
        <v>20</v>
      </c>
    </row>
    <row r="57" spans="1:9" x14ac:dyDescent="0.25">
      <c r="A57" t="s">
        <v>23</v>
      </c>
      <c r="B57" t="s">
        <v>77</v>
      </c>
      <c r="C57" s="70" t="s">
        <v>22</v>
      </c>
      <c r="D57" s="70"/>
      <c r="E57" s="3">
        <f t="shared" si="6"/>
        <v>5</v>
      </c>
      <c r="F57" s="15">
        <v>48.9</v>
      </c>
      <c r="G57" s="15">
        <v>1.5</v>
      </c>
      <c r="H57" s="15">
        <f t="shared" si="5"/>
        <v>47.4</v>
      </c>
      <c r="I57" s="4" t="s">
        <v>20</v>
      </c>
    </row>
    <row r="58" spans="1:9" x14ac:dyDescent="0.25">
      <c r="A58" t="s">
        <v>23</v>
      </c>
      <c r="B58" t="s">
        <v>77</v>
      </c>
      <c r="C58" s="70" t="s">
        <v>22</v>
      </c>
      <c r="D58" s="70"/>
      <c r="E58" s="3">
        <f t="shared" si="6"/>
        <v>6</v>
      </c>
      <c r="F58" s="15">
        <v>48.8</v>
      </c>
      <c r="G58" s="15">
        <v>1.2</v>
      </c>
      <c r="H58" s="15">
        <f t="shared" si="5"/>
        <v>47.599999999999994</v>
      </c>
      <c r="I58" s="4" t="s">
        <v>20</v>
      </c>
    </row>
    <row r="59" spans="1:9" x14ac:dyDescent="0.25">
      <c r="A59" t="s">
        <v>23</v>
      </c>
      <c r="B59" t="s">
        <v>77</v>
      </c>
      <c r="C59" s="70" t="s">
        <v>22</v>
      </c>
      <c r="D59" s="70"/>
      <c r="E59" s="3">
        <f t="shared" si="6"/>
        <v>7</v>
      </c>
      <c r="F59" s="15">
        <v>52.9</v>
      </c>
      <c r="G59" s="15">
        <v>1.1000000000000001</v>
      </c>
      <c r="H59" s="15">
        <f t="shared" si="5"/>
        <v>51.8</v>
      </c>
      <c r="I59" s="4" t="s">
        <v>20</v>
      </c>
    </row>
    <row r="60" spans="1:9" x14ac:dyDescent="0.25">
      <c r="A60" t="s">
        <v>23</v>
      </c>
      <c r="B60" t="s">
        <v>77</v>
      </c>
      <c r="C60" s="70" t="s">
        <v>22</v>
      </c>
      <c r="D60" s="70"/>
      <c r="E60" s="3">
        <f t="shared" si="6"/>
        <v>8</v>
      </c>
      <c r="F60" s="15">
        <v>51.8</v>
      </c>
      <c r="G60" s="15">
        <v>1</v>
      </c>
      <c r="H60" s="15">
        <f t="shared" si="5"/>
        <v>50.8</v>
      </c>
      <c r="I60" s="4" t="s">
        <v>20</v>
      </c>
    </row>
    <row r="61" spans="1:9" x14ac:dyDescent="0.25">
      <c r="A61" t="s">
        <v>23</v>
      </c>
      <c r="B61" t="s">
        <v>77</v>
      </c>
      <c r="C61" s="70" t="s">
        <v>22</v>
      </c>
      <c r="D61" s="70"/>
      <c r="E61" s="3">
        <f t="shared" si="6"/>
        <v>9</v>
      </c>
      <c r="F61" s="15">
        <v>45.3</v>
      </c>
      <c r="G61" s="15">
        <v>1</v>
      </c>
      <c r="H61" s="15">
        <f t="shared" si="5"/>
        <v>44.3</v>
      </c>
      <c r="I61" s="4" t="s">
        <v>20</v>
      </c>
    </row>
    <row r="62" spans="1:9" x14ac:dyDescent="0.25">
      <c r="A62" t="s">
        <v>23</v>
      </c>
      <c r="B62" t="s">
        <v>77</v>
      </c>
      <c r="C62" s="70" t="s">
        <v>22</v>
      </c>
      <c r="D62" s="70"/>
      <c r="E62" s="3">
        <f t="shared" si="6"/>
        <v>10</v>
      </c>
      <c r="F62" s="15">
        <v>48.3</v>
      </c>
      <c r="G62" s="15">
        <v>1</v>
      </c>
      <c r="H62" s="15">
        <f t="shared" si="5"/>
        <v>47.3</v>
      </c>
      <c r="I62" s="4" t="s">
        <v>20</v>
      </c>
    </row>
    <row r="63" spans="1:9" x14ac:dyDescent="0.25">
      <c r="A63" t="s">
        <v>23</v>
      </c>
      <c r="B63" t="s">
        <v>77</v>
      </c>
      <c r="C63" s="70" t="s">
        <v>22</v>
      </c>
      <c r="D63" s="70"/>
      <c r="E63" s="3">
        <f t="shared" si="6"/>
        <v>11</v>
      </c>
      <c r="F63" s="15">
        <v>49.3</v>
      </c>
      <c r="G63" s="15">
        <v>1.5</v>
      </c>
      <c r="H63" s="15">
        <f t="shared" si="5"/>
        <v>47.8</v>
      </c>
      <c r="I63" s="4" t="s">
        <v>20</v>
      </c>
    </row>
    <row r="64" spans="1:9" x14ac:dyDescent="0.25">
      <c r="A64" t="s">
        <v>23</v>
      </c>
      <c r="B64" t="s">
        <v>77</v>
      </c>
      <c r="C64" s="70" t="s">
        <v>22</v>
      </c>
      <c r="D64" s="70"/>
      <c r="E64" s="3">
        <f t="shared" si="6"/>
        <v>12</v>
      </c>
      <c r="F64" s="15">
        <v>47.3</v>
      </c>
      <c r="G64" s="15">
        <v>1.1000000000000001</v>
      </c>
      <c r="H64" s="15">
        <f t="shared" si="5"/>
        <v>46.199999999999996</v>
      </c>
      <c r="I64" s="4" t="s">
        <v>20</v>
      </c>
    </row>
    <row r="65" spans="1:13" x14ac:dyDescent="0.25">
      <c r="A65" t="s">
        <v>23</v>
      </c>
      <c r="B65" t="s">
        <v>77</v>
      </c>
      <c r="C65" s="70" t="s">
        <v>22</v>
      </c>
      <c r="D65" s="70"/>
      <c r="E65" s="3">
        <f t="shared" si="6"/>
        <v>13</v>
      </c>
      <c r="F65" s="15">
        <v>48.6</v>
      </c>
      <c r="G65" s="15">
        <v>0.8</v>
      </c>
      <c r="H65" s="15">
        <f t="shared" si="5"/>
        <v>47.800000000000004</v>
      </c>
      <c r="I65" s="4" t="s">
        <v>20</v>
      </c>
    </row>
    <row r="66" spans="1:13" x14ac:dyDescent="0.25">
      <c r="A66" t="s">
        <v>23</v>
      </c>
      <c r="B66" t="s">
        <v>77</v>
      </c>
      <c r="C66" s="70" t="s">
        <v>22</v>
      </c>
      <c r="D66" s="70"/>
      <c r="E66" s="3">
        <f t="shared" si="6"/>
        <v>14</v>
      </c>
      <c r="F66" s="15">
        <v>49.3</v>
      </c>
      <c r="G66" s="15">
        <v>1.6</v>
      </c>
      <c r="H66" s="15">
        <f t="shared" si="5"/>
        <v>47.699999999999996</v>
      </c>
      <c r="I66" s="4" t="s">
        <v>20</v>
      </c>
    </row>
    <row r="67" spans="1:13" x14ac:dyDescent="0.25">
      <c r="A67" t="s">
        <v>23</v>
      </c>
      <c r="B67" t="s">
        <v>77</v>
      </c>
      <c r="C67" s="70" t="s">
        <v>22</v>
      </c>
      <c r="D67" s="70"/>
      <c r="E67" s="3">
        <f t="shared" si="6"/>
        <v>15</v>
      </c>
      <c r="F67" s="15">
        <v>45.4</v>
      </c>
      <c r="G67" s="15">
        <v>1.6</v>
      </c>
      <c r="H67" s="15">
        <f t="shared" si="5"/>
        <v>43.8</v>
      </c>
      <c r="I67" s="4" t="s">
        <v>20</v>
      </c>
    </row>
    <row r="68" spans="1:13" x14ac:dyDescent="0.25">
      <c r="A68" t="s">
        <v>23</v>
      </c>
      <c r="B68" t="s">
        <v>77</v>
      </c>
      <c r="C68" s="70" t="s">
        <v>22</v>
      </c>
      <c r="D68" s="70"/>
      <c r="E68" s="3">
        <f t="shared" si="6"/>
        <v>16</v>
      </c>
      <c r="F68" s="15">
        <v>49.9</v>
      </c>
      <c r="G68" s="15">
        <v>1.3</v>
      </c>
      <c r="H68" s="15">
        <f t="shared" si="5"/>
        <v>48.6</v>
      </c>
      <c r="I68" s="4" t="s">
        <v>20</v>
      </c>
    </row>
    <row r="69" spans="1:13" x14ac:dyDescent="0.25">
      <c r="A69" t="s">
        <v>23</v>
      </c>
      <c r="B69" t="s">
        <v>77</v>
      </c>
      <c r="C69" s="70" t="s">
        <v>22</v>
      </c>
      <c r="D69" s="70"/>
      <c r="E69" s="3">
        <f t="shared" si="6"/>
        <v>17</v>
      </c>
      <c r="F69" s="15">
        <v>51.8</v>
      </c>
      <c r="G69" s="15">
        <v>1.5</v>
      </c>
      <c r="H69" s="15">
        <f t="shared" si="5"/>
        <v>50.3</v>
      </c>
      <c r="I69" s="4" t="s">
        <v>20</v>
      </c>
    </row>
    <row r="70" spans="1:13" x14ac:dyDescent="0.25">
      <c r="A70" t="s">
        <v>23</v>
      </c>
      <c r="B70" t="s">
        <v>77</v>
      </c>
      <c r="C70" s="70" t="s">
        <v>22</v>
      </c>
      <c r="D70" s="70"/>
      <c r="E70" s="3">
        <f t="shared" si="6"/>
        <v>18</v>
      </c>
      <c r="F70" s="15">
        <v>47.3</v>
      </c>
      <c r="G70" s="15">
        <v>1.7</v>
      </c>
      <c r="H70" s="15">
        <f t="shared" si="5"/>
        <v>45.599999999999994</v>
      </c>
      <c r="I70" s="4" t="s">
        <v>20</v>
      </c>
    </row>
    <row r="71" spans="1:13" x14ac:dyDescent="0.25">
      <c r="A71" t="s">
        <v>23</v>
      </c>
      <c r="B71" t="s">
        <v>77</v>
      </c>
      <c r="C71" s="70" t="s">
        <v>22</v>
      </c>
      <c r="D71" s="70"/>
      <c r="E71" s="3">
        <f t="shared" si="6"/>
        <v>19</v>
      </c>
      <c r="F71" s="15">
        <v>51.4</v>
      </c>
      <c r="G71" s="15">
        <v>1.7</v>
      </c>
      <c r="H71" s="15">
        <f t="shared" si="5"/>
        <v>49.699999999999996</v>
      </c>
      <c r="I71" s="4" t="s">
        <v>20</v>
      </c>
    </row>
    <row r="72" spans="1:13" x14ac:dyDescent="0.25">
      <c r="A72" t="s">
        <v>23</v>
      </c>
      <c r="B72" t="s">
        <v>77</v>
      </c>
      <c r="C72" s="70" t="s">
        <v>22</v>
      </c>
      <c r="D72" s="70"/>
      <c r="E72" s="3">
        <f t="shared" si="6"/>
        <v>20</v>
      </c>
      <c r="F72" s="15">
        <v>50.7</v>
      </c>
      <c r="G72" s="15">
        <v>1.2</v>
      </c>
      <c r="H72" s="15">
        <f t="shared" si="5"/>
        <v>49.5</v>
      </c>
      <c r="I72" s="4" t="s">
        <v>20</v>
      </c>
    </row>
    <row r="73" spans="1:13" x14ac:dyDescent="0.25">
      <c r="A73" t="s">
        <v>23</v>
      </c>
      <c r="B73" t="s">
        <v>77</v>
      </c>
      <c r="C73" s="70" t="s">
        <v>22</v>
      </c>
      <c r="D73" s="70"/>
      <c r="E73" s="3">
        <f t="shared" si="6"/>
        <v>21</v>
      </c>
      <c r="F73" s="15">
        <v>52.5</v>
      </c>
      <c r="G73" s="15">
        <v>1</v>
      </c>
      <c r="H73" s="15">
        <f t="shared" si="5"/>
        <v>51.5</v>
      </c>
      <c r="I73" s="4" t="s">
        <v>20</v>
      </c>
    </row>
    <row r="74" spans="1:13" ht="15.75" thickBot="1" x14ac:dyDescent="0.3">
      <c r="A74" t="s">
        <v>23</v>
      </c>
      <c r="B74" t="s">
        <v>77</v>
      </c>
      <c r="C74" s="78" t="s">
        <v>22</v>
      </c>
      <c r="D74" s="78"/>
      <c r="E74" s="3">
        <f t="shared" si="6"/>
        <v>22</v>
      </c>
      <c r="F74" s="15">
        <v>47.2</v>
      </c>
      <c r="G74" s="15">
        <v>1.1000000000000001</v>
      </c>
      <c r="H74" s="15">
        <f t="shared" si="5"/>
        <v>46.1</v>
      </c>
      <c r="I74" s="4" t="s">
        <v>20</v>
      </c>
    </row>
    <row r="75" spans="1:13" ht="16.5" thickTop="1" thickBot="1" x14ac:dyDescent="0.3">
      <c r="A75" s="75" t="s">
        <v>27</v>
      </c>
      <c r="B75" s="75"/>
      <c r="C75" s="75"/>
      <c r="D75" s="75"/>
      <c r="E75" s="12">
        <f>E74</f>
        <v>22</v>
      </c>
      <c r="F75" s="14">
        <f>SUM(F53:F74)</f>
        <v>1087.3999999999999</v>
      </c>
      <c r="G75" s="14">
        <f>SUM(G53:G74)</f>
        <v>27.700000000000003</v>
      </c>
      <c r="H75" s="14">
        <f>SUM(H53:H74)</f>
        <v>1059.7</v>
      </c>
      <c r="I75" s="13"/>
      <c r="K75" s="27">
        <f>E8-F75</f>
        <v>0.20000000000004547</v>
      </c>
    </row>
    <row r="76" spans="1:13" ht="6" customHeight="1" thickTop="1" x14ac:dyDescent="0.25"/>
    <row r="77" spans="1:13" ht="15.75" thickBot="1" x14ac:dyDescent="0.3">
      <c r="A77" s="1" t="s">
        <v>29</v>
      </c>
    </row>
    <row r="78" spans="1:13" ht="33" customHeight="1" thickTop="1" thickBot="1" x14ac:dyDescent="0.3">
      <c r="A78" s="9" t="s">
        <v>7</v>
      </c>
      <c r="B78" s="9" t="s">
        <v>2</v>
      </c>
      <c r="C78" s="73" t="s">
        <v>6</v>
      </c>
      <c r="D78" s="73"/>
      <c r="E78" s="11" t="s">
        <v>30</v>
      </c>
      <c r="F78" s="11" t="s">
        <v>31</v>
      </c>
      <c r="G78" s="11" t="s">
        <v>32</v>
      </c>
      <c r="H78" s="11" t="s">
        <v>33</v>
      </c>
      <c r="I78" s="11" t="s">
        <v>37</v>
      </c>
    </row>
    <row r="79" spans="1:13" ht="16.5" thickTop="1" thickBot="1" x14ac:dyDescent="0.3">
      <c r="A79" t="s">
        <v>23</v>
      </c>
      <c r="B79" t="s">
        <v>77</v>
      </c>
      <c r="C79" s="80" t="s">
        <v>22</v>
      </c>
      <c r="D79" s="80"/>
      <c r="E79" s="15">
        <v>816</v>
      </c>
      <c r="F79" s="15">
        <v>219</v>
      </c>
      <c r="G79" s="15">
        <v>13.5</v>
      </c>
      <c r="H79" s="15">
        <f>IF(E79="","",(H75-E79-F79-G79))</f>
        <v>11.200000000000045</v>
      </c>
      <c r="I79" s="15">
        <f>IF(E79="","",SUM(E79:H79))</f>
        <v>1059.7</v>
      </c>
      <c r="L79" s="3">
        <v>691</v>
      </c>
      <c r="M79">
        <f>816-75</f>
        <v>741</v>
      </c>
    </row>
    <row r="80" spans="1:13" ht="16.5" thickTop="1" thickBot="1" x14ac:dyDescent="0.3">
      <c r="A80" s="77" t="s">
        <v>52</v>
      </c>
      <c r="B80" s="77"/>
      <c r="C80" s="77"/>
      <c r="D80" s="77"/>
      <c r="E80" s="20">
        <f>IF(E79="","",E79/$H$75)</f>
        <v>0.77002925356232887</v>
      </c>
      <c r="F80" s="32">
        <f t="shared" ref="F80:G80" si="7">IF(F79="","",F79/$H$75)</f>
        <v>0.20666226290459563</v>
      </c>
      <c r="G80" s="32">
        <f t="shared" si="7"/>
        <v>1.273945456261206E-2</v>
      </c>
      <c r="H80" s="32">
        <f>IF(H79="","",H79/$H$75)</f>
        <v>1.0569028970463381E-2</v>
      </c>
      <c r="I80" s="17">
        <f>IF(I79="","",SUM(E80:H80))</f>
        <v>1</v>
      </c>
    </row>
    <row r="81" spans="1:9" ht="15.75" thickTop="1" x14ac:dyDescent="0.25">
      <c r="A81" s="19" t="s">
        <v>16</v>
      </c>
    </row>
    <row r="82" spans="1:9" ht="9.9499999999999993" customHeight="1" x14ac:dyDescent="0.25">
      <c r="A82" s="7" t="s">
        <v>36</v>
      </c>
    </row>
    <row r="83" spans="1:9" ht="9.9499999999999993" customHeight="1" x14ac:dyDescent="0.25">
      <c r="A83" s="7" t="s">
        <v>35</v>
      </c>
    </row>
    <row r="84" spans="1:9" ht="9.9499999999999993" customHeight="1" x14ac:dyDescent="0.25">
      <c r="A84" s="7" t="s">
        <v>34</v>
      </c>
    </row>
    <row r="85" spans="1:9" ht="9.9499999999999993" customHeight="1" x14ac:dyDescent="0.25">
      <c r="A85" s="7" t="s">
        <v>50</v>
      </c>
    </row>
    <row r="86" spans="1:9" ht="5.25" customHeight="1" x14ac:dyDescent="0.25"/>
    <row r="87" spans="1:9" ht="15.75" thickBot="1" x14ac:dyDescent="0.3">
      <c r="A87" s="1" t="s">
        <v>125</v>
      </c>
      <c r="B87" s="1"/>
      <c r="C87" s="1"/>
    </row>
    <row r="88" spans="1:9" ht="16.5" thickTop="1" thickBot="1" x14ac:dyDescent="0.3">
      <c r="A88" s="9" t="s">
        <v>7</v>
      </c>
      <c r="B88" s="9" t="s">
        <v>2</v>
      </c>
      <c r="C88" s="73" t="s">
        <v>6</v>
      </c>
      <c r="D88" s="73"/>
      <c r="E88" s="10" t="s">
        <v>25</v>
      </c>
      <c r="F88" s="10" t="s">
        <v>3</v>
      </c>
      <c r="G88" s="10" t="s">
        <v>4</v>
      </c>
      <c r="H88" s="10" t="s">
        <v>5</v>
      </c>
      <c r="I88" s="11" t="s">
        <v>26</v>
      </c>
    </row>
    <row r="89" spans="1:9" ht="15.75" thickTop="1" x14ac:dyDescent="0.25">
      <c r="A89" t="s">
        <v>23</v>
      </c>
      <c r="B89" t="s">
        <v>78</v>
      </c>
      <c r="C89" s="74" t="s">
        <v>22</v>
      </c>
      <c r="D89" s="74"/>
      <c r="E89" s="3">
        <v>1</v>
      </c>
      <c r="F89" s="15">
        <v>45.6</v>
      </c>
      <c r="G89" s="15">
        <v>1.3</v>
      </c>
      <c r="H89" s="15">
        <f>F89-G89</f>
        <v>44.300000000000004</v>
      </c>
      <c r="I89" s="4" t="s">
        <v>20</v>
      </c>
    </row>
    <row r="90" spans="1:9" x14ac:dyDescent="0.25">
      <c r="A90" t="s">
        <v>23</v>
      </c>
      <c r="B90" t="s">
        <v>78</v>
      </c>
      <c r="C90" s="70" t="s">
        <v>22</v>
      </c>
      <c r="D90" s="70"/>
      <c r="E90" s="3">
        <f>E89+1</f>
        <v>2</v>
      </c>
      <c r="F90" s="15">
        <v>53.9</v>
      </c>
      <c r="G90" s="15">
        <v>1</v>
      </c>
      <c r="H90" s="15">
        <f t="shared" ref="H90:H105" si="8">F90-G90</f>
        <v>52.9</v>
      </c>
      <c r="I90" s="4" t="s">
        <v>20</v>
      </c>
    </row>
    <row r="91" spans="1:9" x14ac:dyDescent="0.25">
      <c r="A91" t="s">
        <v>23</v>
      </c>
      <c r="B91" t="s">
        <v>78</v>
      </c>
      <c r="C91" s="70" t="s">
        <v>22</v>
      </c>
      <c r="D91" s="70"/>
      <c r="E91" s="3">
        <f t="shared" ref="E91:E105" si="9">E90+1</f>
        <v>3</v>
      </c>
      <c r="F91" s="15">
        <v>53.8</v>
      </c>
      <c r="G91" s="15">
        <v>1.1000000000000001</v>
      </c>
      <c r="H91" s="15">
        <f t="shared" si="8"/>
        <v>52.699999999999996</v>
      </c>
      <c r="I91" s="4" t="s">
        <v>20</v>
      </c>
    </row>
    <row r="92" spans="1:9" x14ac:dyDescent="0.25">
      <c r="A92" t="s">
        <v>23</v>
      </c>
      <c r="B92" t="s">
        <v>78</v>
      </c>
      <c r="C92" s="70" t="s">
        <v>22</v>
      </c>
      <c r="D92" s="70"/>
      <c r="E92" s="3">
        <f t="shared" si="9"/>
        <v>4</v>
      </c>
      <c r="F92" s="15">
        <v>48.8</v>
      </c>
      <c r="G92" s="15">
        <v>1.1000000000000001</v>
      </c>
      <c r="H92" s="15">
        <f t="shared" si="8"/>
        <v>47.699999999999996</v>
      </c>
      <c r="I92" s="4" t="s">
        <v>20</v>
      </c>
    </row>
    <row r="93" spans="1:9" x14ac:dyDescent="0.25">
      <c r="A93" t="s">
        <v>23</v>
      </c>
      <c r="B93" t="s">
        <v>78</v>
      </c>
      <c r="C93" s="70" t="s">
        <v>22</v>
      </c>
      <c r="D93" s="70"/>
      <c r="E93" s="3">
        <f t="shared" si="9"/>
        <v>5</v>
      </c>
      <c r="F93" s="15">
        <v>49.5</v>
      </c>
      <c r="G93" s="15">
        <v>1.1000000000000001</v>
      </c>
      <c r="H93" s="15">
        <f t="shared" si="8"/>
        <v>48.4</v>
      </c>
      <c r="I93" s="4" t="s">
        <v>20</v>
      </c>
    </row>
    <row r="94" spans="1:9" x14ac:dyDescent="0.25">
      <c r="A94" t="s">
        <v>23</v>
      </c>
      <c r="B94" t="s">
        <v>78</v>
      </c>
      <c r="C94" s="70" t="s">
        <v>22</v>
      </c>
      <c r="D94" s="70"/>
      <c r="E94" s="3">
        <f t="shared" si="9"/>
        <v>6</v>
      </c>
      <c r="F94" s="15">
        <v>50</v>
      </c>
      <c r="G94" s="15">
        <v>1.3</v>
      </c>
      <c r="H94" s="15">
        <f t="shared" si="8"/>
        <v>48.7</v>
      </c>
      <c r="I94" s="4" t="s">
        <v>20</v>
      </c>
    </row>
    <row r="95" spans="1:9" x14ac:dyDescent="0.25">
      <c r="A95" t="s">
        <v>23</v>
      </c>
      <c r="B95" t="s">
        <v>78</v>
      </c>
      <c r="C95" s="70" t="s">
        <v>22</v>
      </c>
      <c r="D95" s="70"/>
      <c r="E95" s="3">
        <f t="shared" si="9"/>
        <v>7</v>
      </c>
      <c r="F95" s="15">
        <v>51.1</v>
      </c>
      <c r="G95" s="15">
        <v>1</v>
      </c>
      <c r="H95" s="15">
        <f t="shared" si="8"/>
        <v>50.1</v>
      </c>
      <c r="I95" s="4" t="s">
        <v>20</v>
      </c>
    </row>
    <row r="96" spans="1:9" x14ac:dyDescent="0.25">
      <c r="A96" t="s">
        <v>23</v>
      </c>
      <c r="B96" t="s">
        <v>78</v>
      </c>
      <c r="C96" s="70" t="s">
        <v>22</v>
      </c>
      <c r="D96" s="70"/>
      <c r="E96" s="3">
        <f t="shared" si="9"/>
        <v>8</v>
      </c>
      <c r="F96" s="15">
        <v>47.7</v>
      </c>
      <c r="G96" s="15">
        <v>1.1000000000000001</v>
      </c>
      <c r="H96" s="15">
        <f t="shared" si="8"/>
        <v>46.6</v>
      </c>
      <c r="I96" s="4" t="s">
        <v>20</v>
      </c>
    </row>
    <row r="97" spans="1:11" x14ac:dyDescent="0.25">
      <c r="A97" t="s">
        <v>23</v>
      </c>
      <c r="B97" t="s">
        <v>78</v>
      </c>
      <c r="C97" s="70" t="s">
        <v>22</v>
      </c>
      <c r="D97" s="70"/>
      <c r="E97" s="3">
        <f t="shared" si="9"/>
        <v>9</v>
      </c>
      <c r="F97" s="15">
        <v>46.6</v>
      </c>
      <c r="G97" s="15">
        <v>1.3</v>
      </c>
      <c r="H97" s="15">
        <f t="shared" si="8"/>
        <v>45.300000000000004</v>
      </c>
      <c r="I97" s="4" t="s">
        <v>20</v>
      </c>
    </row>
    <row r="98" spans="1:11" x14ac:dyDescent="0.25">
      <c r="A98" t="s">
        <v>23</v>
      </c>
      <c r="B98" t="s">
        <v>78</v>
      </c>
      <c r="C98" s="70" t="s">
        <v>22</v>
      </c>
      <c r="D98" s="70"/>
      <c r="E98" s="3">
        <f t="shared" si="9"/>
        <v>10</v>
      </c>
      <c r="F98" s="15">
        <v>47.9</v>
      </c>
      <c r="G98" s="15">
        <v>1.1000000000000001</v>
      </c>
      <c r="H98" s="15">
        <f t="shared" si="8"/>
        <v>46.8</v>
      </c>
      <c r="I98" s="4" t="s">
        <v>20</v>
      </c>
    </row>
    <row r="99" spans="1:11" x14ac:dyDescent="0.25">
      <c r="A99" t="s">
        <v>23</v>
      </c>
      <c r="B99" t="s">
        <v>78</v>
      </c>
      <c r="C99" s="70" t="s">
        <v>22</v>
      </c>
      <c r="D99" s="70"/>
      <c r="E99" s="3">
        <f t="shared" si="9"/>
        <v>11</v>
      </c>
      <c r="F99" s="15">
        <v>49.7</v>
      </c>
      <c r="G99" s="15">
        <v>1.2</v>
      </c>
      <c r="H99" s="15">
        <f t="shared" si="8"/>
        <v>48.5</v>
      </c>
      <c r="I99" s="4" t="s">
        <v>20</v>
      </c>
    </row>
    <row r="100" spans="1:11" x14ac:dyDescent="0.25">
      <c r="A100" t="s">
        <v>23</v>
      </c>
      <c r="B100" t="s">
        <v>78</v>
      </c>
      <c r="C100" s="70" t="s">
        <v>22</v>
      </c>
      <c r="D100" s="70"/>
      <c r="E100" s="3">
        <f t="shared" si="9"/>
        <v>12</v>
      </c>
      <c r="F100" s="15">
        <v>50.6</v>
      </c>
      <c r="G100" s="15">
        <v>1.4</v>
      </c>
      <c r="H100" s="15">
        <f t="shared" si="8"/>
        <v>49.2</v>
      </c>
      <c r="I100" s="4" t="s">
        <v>20</v>
      </c>
    </row>
    <row r="101" spans="1:11" x14ac:dyDescent="0.25">
      <c r="A101" t="s">
        <v>23</v>
      </c>
      <c r="B101" t="s">
        <v>78</v>
      </c>
      <c r="C101" s="70" t="s">
        <v>22</v>
      </c>
      <c r="D101" s="70"/>
      <c r="E101" s="3">
        <f t="shared" si="9"/>
        <v>13</v>
      </c>
      <c r="F101" s="15">
        <v>51.7</v>
      </c>
      <c r="G101" s="15">
        <v>1.7</v>
      </c>
      <c r="H101" s="15">
        <f t="shared" si="8"/>
        <v>50</v>
      </c>
      <c r="I101" s="4" t="s">
        <v>20</v>
      </c>
    </row>
    <row r="102" spans="1:11" x14ac:dyDescent="0.25">
      <c r="A102" t="s">
        <v>23</v>
      </c>
      <c r="B102" t="s">
        <v>78</v>
      </c>
      <c r="C102" s="70" t="s">
        <v>22</v>
      </c>
      <c r="D102" s="70"/>
      <c r="E102" s="3">
        <f t="shared" si="9"/>
        <v>14</v>
      </c>
      <c r="F102" s="15">
        <v>46.4</v>
      </c>
      <c r="G102" s="15">
        <v>1.3</v>
      </c>
      <c r="H102" s="15">
        <f t="shared" si="8"/>
        <v>45.1</v>
      </c>
      <c r="I102" s="4" t="s">
        <v>20</v>
      </c>
    </row>
    <row r="103" spans="1:11" x14ac:dyDescent="0.25">
      <c r="A103" t="s">
        <v>23</v>
      </c>
      <c r="B103" t="s">
        <v>78</v>
      </c>
      <c r="C103" s="70" t="s">
        <v>22</v>
      </c>
      <c r="D103" s="70"/>
      <c r="E103" s="3">
        <f t="shared" si="9"/>
        <v>15</v>
      </c>
      <c r="F103" s="15">
        <v>48.3</v>
      </c>
      <c r="G103" s="15">
        <v>1.1000000000000001</v>
      </c>
      <c r="H103" s="15">
        <f t="shared" si="8"/>
        <v>47.199999999999996</v>
      </c>
      <c r="I103" s="4" t="s">
        <v>20</v>
      </c>
    </row>
    <row r="104" spans="1:11" x14ac:dyDescent="0.25">
      <c r="A104" t="s">
        <v>23</v>
      </c>
      <c r="B104" t="s">
        <v>78</v>
      </c>
      <c r="C104" s="70" t="s">
        <v>22</v>
      </c>
      <c r="D104" s="70"/>
      <c r="E104" s="3">
        <f t="shared" si="9"/>
        <v>16</v>
      </c>
      <c r="F104" s="15">
        <v>52.7</v>
      </c>
      <c r="G104" s="15">
        <v>1.1000000000000001</v>
      </c>
      <c r="H104" s="15">
        <f t="shared" si="8"/>
        <v>51.6</v>
      </c>
      <c r="I104" s="4" t="s">
        <v>20</v>
      </c>
    </row>
    <row r="105" spans="1:11" ht="15.75" thickBot="1" x14ac:dyDescent="0.3">
      <c r="A105" t="s">
        <v>23</v>
      </c>
      <c r="B105" t="s">
        <v>78</v>
      </c>
      <c r="C105" s="78" t="s">
        <v>22</v>
      </c>
      <c r="D105" s="78"/>
      <c r="E105" s="3">
        <f t="shared" si="9"/>
        <v>17</v>
      </c>
      <c r="F105" s="15">
        <v>50.7</v>
      </c>
      <c r="G105" s="15">
        <v>1</v>
      </c>
      <c r="H105" s="15">
        <f t="shared" si="8"/>
        <v>49.7</v>
      </c>
      <c r="I105" s="4" t="s">
        <v>20</v>
      </c>
    </row>
    <row r="106" spans="1:11" ht="16.5" thickTop="1" thickBot="1" x14ac:dyDescent="0.3">
      <c r="A106" s="75" t="s">
        <v>27</v>
      </c>
      <c r="B106" s="75"/>
      <c r="C106" s="75"/>
      <c r="D106" s="75"/>
      <c r="E106" s="12">
        <f>E105</f>
        <v>17</v>
      </c>
      <c r="F106" s="14">
        <f>SUM(F89:F105)</f>
        <v>845.00000000000011</v>
      </c>
      <c r="G106" s="14">
        <f>SUM(G89:G105)</f>
        <v>20.200000000000003</v>
      </c>
      <c r="H106" s="14">
        <f>SUM(H89:H105)</f>
        <v>824.80000000000018</v>
      </c>
      <c r="I106" s="13"/>
      <c r="K106" s="27">
        <f>E9-F106</f>
        <v>-1.7000000000001592</v>
      </c>
    </row>
    <row r="107" spans="1:11" ht="6.75" customHeight="1" thickTop="1" x14ac:dyDescent="0.25"/>
    <row r="108" spans="1:11" ht="15.75" thickBot="1" x14ac:dyDescent="0.3">
      <c r="A108" s="1" t="s">
        <v>29</v>
      </c>
    </row>
    <row r="109" spans="1:11" ht="31.5" thickTop="1" thickBot="1" x14ac:dyDescent="0.3">
      <c r="A109" s="9" t="s">
        <v>7</v>
      </c>
      <c r="B109" s="9" t="s">
        <v>2</v>
      </c>
      <c r="C109" s="73" t="s">
        <v>6</v>
      </c>
      <c r="D109" s="73"/>
      <c r="E109" s="11" t="s">
        <v>30</v>
      </c>
      <c r="F109" s="11" t="s">
        <v>31</v>
      </c>
      <c r="G109" s="11" t="s">
        <v>32</v>
      </c>
      <c r="H109" s="11" t="s">
        <v>33</v>
      </c>
      <c r="I109" s="11" t="s">
        <v>37</v>
      </c>
    </row>
    <row r="110" spans="1:11" ht="16.5" thickTop="1" thickBot="1" x14ac:dyDescent="0.3">
      <c r="A110" t="s">
        <v>23</v>
      </c>
      <c r="B110" t="str">
        <f>B105</f>
        <v>MADURA P11</v>
      </c>
      <c r="C110" s="80" t="s">
        <v>22</v>
      </c>
      <c r="D110" s="80"/>
      <c r="E110" s="15">
        <v>671.6</v>
      </c>
      <c r="F110" s="15">
        <v>127.7</v>
      </c>
      <c r="G110" s="15">
        <v>13.5</v>
      </c>
      <c r="H110" s="15">
        <f>IF(E110="","",(H106-E110-F110-G110))</f>
        <v>12.000000000000156</v>
      </c>
      <c r="I110" s="15">
        <f>IF(E110="","",SUM(E110:H110))</f>
        <v>824.80000000000018</v>
      </c>
    </row>
    <row r="111" spans="1:11" ht="16.5" thickTop="1" thickBot="1" x14ac:dyDescent="0.3">
      <c r="A111" s="77" t="s">
        <v>52</v>
      </c>
      <c r="B111" s="77"/>
      <c r="C111" s="77"/>
      <c r="D111" s="77"/>
      <c r="E111" s="20">
        <f>IF(E110="","",E110/$H$106)</f>
        <v>0.81425800193986408</v>
      </c>
      <c r="F111" s="32">
        <f t="shared" ref="F111:H111" si="10">IF(F110="","",F110/$H$106)</f>
        <v>0.15482541222114449</v>
      </c>
      <c r="G111" s="32">
        <f t="shared" si="10"/>
        <v>1.6367604267701258E-2</v>
      </c>
      <c r="H111" s="32">
        <f t="shared" si="10"/>
        <v>1.4548981571290196E-2</v>
      </c>
      <c r="I111" s="17">
        <f>IF(I110="","",SUM(E111:H111))</f>
        <v>0.99999999999999989</v>
      </c>
    </row>
    <row r="112" spans="1:11" ht="15.75" thickTop="1" x14ac:dyDescent="0.25">
      <c r="A112" s="19" t="s">
        <v>16</v>
      </c>
    </row>
    <row r="113" spans="1:14" ht="9.9499999999999993" customHeight="1" x14ac:dyDescent="0.25">
      <c r="A113" s="7" t="s">
        <v>36</v>
      </c>
    </row>
    <row r="114" spans="1:14" ht="9.9499999999999993" customHeight="1" x14ac:dyDescent="0.25">
      <c r="A114" s="7" t="s">
        <v>35</v>
      </c>
    </row>
    <row r="115" spans="1:14" ht="9.9499999999999993" customHeight="1" x14ac:dyDescent="0.25">
      <c r="A115" s="7" t="s">
        <v>34</v>
      </c>
    </row>
    <row r="116" spans="1:14" ht="9.9499999999999993" customHeight="1" x14ac:dyDescent="0.25">
      <c r="A116" s="7" t="s">
        <v>50</v>
      </c>
    </row>
    <row r="117" spans="1:14" ht="6.75" customHeight="1" x14ac:dyDescent="0.25"/>
    <row r="118" spans="1:14" hidden="1" x14ac:dyDescent="0.25">
      <c r="A118" s="1" t="s">
        <v>56</v>
      </c>
      <c r="B118" s="1" t="s">
        <v>60</v>
      </c>
      <c r="C118" s="1"/>
    </row>
    <row r="119" spans="1:14" ht="16.5" hidden="1" thickTop="1" thickBot="1" x14ac:dyDescent="0.3">
      <c r="A119" s="9" t="s">
        <v>7</v>
      </c>
      <c r="B119" s="9" t="s">
        <v>2</v>
      </c>
      <c r="C119" s="9"/>
      <c r="D119" s="10" t="s">
        <v>6</v>
      </c>
      <c r="E119" s="10" t="s">
        <v>25</v>
      </c>
      <c r="F119" s="10" t="s">
        <v>3</v>
      </c>
      <c r="G119" s="10" t="s">
        <v>4</v>
      </c>
      <c r="H119" s="10" t="s">
        <v>5</v>
      </c>
      <c r="I119" s="11" t="s">
        <v>26</v>
      </c>
    </row>
    <row r="120" spans="1:14" hidden="1" x14ac:dyDescent="0.25">
      <c r="A120" t="s">
        <v>23</v>
      </c>
      <c r="B120" t="s">
        <v>62</v>
      </c>
      <c r="D120" s="4" t="s">
        <v>47</v>
      </c>
      <c r="E120" s="3">
        <v>1</v>
      </c>
      <c r="F120" s="15">
        <v>132.69999999999999</v>
      </c>
      <c r="G120" s="15">
        <v>15.4</v>
      </c>
      <c r="H120" s="15">
        <f>F120-G120</f>
        <v>117.29999999999998</v>
      </c>
      <c r="I120" s="4" t="s">
        <v>20</v>
      </c>
    </row>
    <row r="121" spans="1:14" hidden="1" x14ac:dyDescent="0.25">
      <c r="A121" t="s">
        <v>23</v>
      </c>
      <c r="B121" t="s">
        <v>62</v>
      </c>
      <c r="D121" s="4" t="s">
        <v>47</v>
      </c>
      <c r="E121" s="3">
        <f>E120+1</f>
        <v>2</v>
      </c>
      <c r="F121" s="15">
        <v>132.69999999999999</v>
      </c>
      <c r="G121" s="15">
        <v>15.7</v>
      </c>
      <c r="H121" s="15">
        <f t="shared" ref="H121:H125" si="11">F121-G121</f>
        <v>116.99999999999999</v>
      </c>
      <c r="I121" s="4" t="s">
        <v>20</v>
      </c>
    </row>
    <row r="122" spans="1:14" hidden="1" x14ac:dyDescent="0.25">
      <c r="A122" t="s">
        <v>23</v>
      </c>
      <c r="B122" t="s">
        <v>62</v>
      </c>
      <c r="D122" s="4" t="s">
        <v>47</v>
      </c>
      <c r="E122" s="3">
        <f t="shared" ref="E122:E125" si="12">E121+1</f>
        <v>3</v>
      </c>
      <c r="F122" s="15">
        <v>132.69999999999999</v>
      </c>
      <c r="G122" s="15">
        <v>15.5</v>
      </c>
      <c r="H122" s="15">
        <f t="shared" si="11"/>
        <v>117.19999999999999</v>
      </c>
      <c r="I122" s="4" t="s">
        <v>20</v>
      </c>
    </row>
    <row r="123" spans="1:14" hidden="1" x14ac:dyDescent="0.25">
      <c r="A123" t="s">
        <v>23</v>
      </c>
      <c r="B123" t="s">
        <v>62</v>
      </c>
      <c r="D123" s="4" t="s">
        <v>47</v>
      </c>
      <c r="E123" s="3">
        <f t="shared" si="12"/>
        <v>4</v>
      </c>
      <c r="F123" s="15">
        <v>132.69999999999999</v>
      </c>
      <c r="G123" s="15">
        <v>15.3</v>
      </c>
      <c r="H123" s="15">
        <f t="shared" si="11"/>
        <v>117.39999999999999</v>
      </c>
      <c r="I123" s="4" t="s">
        <v>20</v>
      </c>
    </row>
    <row r="124" spans="1:14" hidden="1" x14ac:dyDescent="0.25">
      <c r="A124" t="s">
        <v>23</v>
      </c>
      <c r="B124" t="s">
        <v>62</v>
      </c>
      <c r="D124" s="4" t="s">
        <v>47</v>
      </c>
      <c r="E124" s="3">
        <f t="shared" si="12"/>
        <v>5</v>
      </c>
      <c r="F124" s="15">
        <v>132.69999999999999</v>
      </c>
      <c r="G124" s="15">
        <v>15.5</v>
      </c>
      <c r="H124" s="15">
        <f t="shared" si="11"/>
        <v>117.19999999999999</v>
      </c>
      <c r="I124" s="4" t="s">
        <v>20</v>
      </c>
    </row>
    <row r="125" spans="1:14" hidden="1" x14ac:dyDescent="0.25">
      <c r="A125" t="s">
        <v>23</v>
      </c>
      <c r="B125" t="s">
        <v>62</v>
      </c>
      <c r="D125" s="4" t="s">
        <v>47</v>
      </c>
      <c r="E125" s="3">
        <f t="shared" si="12"/>
        <v>6</v>
      </c>
      <c r="F125" s="15">
        <v>132.69999999999999</v>
      </c>
      <c r="G125" s="15">
        <v>15.6</v>
      </c>
      <c r="H125" s="15">
        <f t="shared" si="11"/>
        <v>117.1</v>
      </c>
      <c r="I125" s="4" t="s">
        <v>20</v>
      </c>
    </row>
    <row r="126" spans="1:14" ht="16.5" hidden="1" thickTop="1" thickBot="1" x14ac:dyDescent="0.3">
      <c r="A126" s="75" t="s">
        <v>27</v>
      </c>
      <c r="B126" s="75"/>
      <c r="C126" s="75"/>
      <c r="D126" s="75"/>
      <c r="E126" s="12">
        <f>E125</f>
        <v>6</v>
      </c>
      <c r="F126" s="14">
        <f>SUM(F120:F125)</f>
        <v>796.2</v>
      </c>
      <c r="G126" s="14">
        <f>SUM(G120:G125)</f>
        <v>93</v>
      </c>
      <c r="H126" s="14">
        <f>SUM(H120:H125)</f>
        <v>703.19999999999993</v>
      </c>
      <c r="I126" s="13"/>
    </row>
    <row r="127" spans="1:14" ht="3.75" hidden="1" customHeight="1" thickTop="1" x14ac:dyDescent="0.25"/>
    <row r="128" spans="1:14" hidden="1" x14ac:dyDescent="0.25">
      <c r="A128" s="1" t="s">
        <v>29</v>
      </c>
      <c r="N128" t="s">
        <v>66</v>
      </c>
    </row>
    <row r="129" spans="1:9" ht="31.5" hidden="1" thickTop="1" thickBot="1" x14ac:dyDescent="0.3">
      <c r="A129" s="9" t="s">
        <v>7</v>
      </c>
      <c r="B129" s="9" t="s">
        <v>2</v>
      </c>
      <c r="C129" s="9"/>
      <c r="D129" s="10" t="s">
        <v>6</v>
      </c>
      <c r="E129" s="11" t="s">
        <v>30</v>
      </c>
      <c r="F129" s="11" t="s">
        <v>31</v>
      </c>
      <c r="G129" s="11" t="s">
        <v>32</v>
      </c>
      <c r="H129" s="11" t="s">
        <v>33</v>
      </c>
      <c r="I129" s="11" t="s">
        <v>37</v>
      </c>
    </row>
    <row r="130" spans="1:9" hidden="1" x14ac:dyDescent="0.25">
      <c r="A130" t="s">
        <v>23</v>
      </c>
      <c r="B130" t="s">
        <v>62</v>
      </c>
      <c r="D130" s="3" t="str">
        <f>D125</f>
        <v>C-48</v>
      </c>
      <c r="E130" s="15">
        <v>380.5</v>
      </c>
      <c r="F130" s="15">
        <v>307.39999999999998</v>
      </c>
      <c r="G130" s="15">
        <v>8</v>
      </c>
      <c r="H130" s="18">
        <f>H126-(E130+F130+G130)</f>
        <v>7.2999999999999545</v>
      </c>
      <c r="I130" s="15">
        <f>SUM(E130:H130)</f>
        <v>703.19999999999993</v>
      </c>
    </row>
    <row r="131" spans="1:9" ht="16.5" hidden="1" thickTop="1" thickBot="1" x14ac:dyDescent="0.3">
      <c r="A131" s="77" t="s">
        <v>52</v>
      </c>
      <c r="B131" s="77"/>
      <c r="C131" s="77"/>
      <c r="D131" s="77"/>
      <c r="E131" s="20">
        <f>E130/$H$126</f>
        <v>0.54109783845278736</v>
      </c>
      <c r="F131" s="20">
        <f>F130/$H$126</f>
        <v>0.43714448236632536</v>
      </c>
      <c r="G131" s="20">
        <f t="shared" ref="G131:H131" si="13">G130/$H$126</f>
        <v>1.137656427758817E-2</v>
      </c>
      <c r="H131" s="20">
        <f t="shared" si="13"/>
        <v>1.0381114903299141E-2</v>
      </c>
      <c r="I131" s="17">
        <f>SUM(E131:H131)</f>
        <v>1</v>
      </c>
    </row>
    <row r="132" spans="1:9" hidden="1" x14ac:dyDescent="0.25">
      <c r="A132" s="19" t="s">
        <v>16</v>
      </c>
    </row>
    <row r="133" spans="1:9" ht="12.75" hidden="1" customHeight="1" x14ac:dyDescent="0.25">
      <c r="A133" s="7" t="s">
        <v>36</v>
      </c>
    </row>
    <row r="134" spans="1:9" ht="12.75" hidden="1" customHeight="1" x14ac:dyDescent="0.25">
      <c r="A134" s="7" t="s">
        <v>35</v>
      </c>
    </row>
    <row r="135" spans="1:9" ht="12.75" hidden="1" customHeight="1" x14ac:dyDescent="0.25">
      <c r="A135" s="7" t="s">
        <v>34</v>
      </c>
    </row>
    <row r="136" spans="1:9" ht="12.75" hidden="1" customHeight="1" x14ac:dyDescent="0.25">
      <c r="A136" s="7" t="s">
        <v>50</v>
      </c>
    </row>
    <row r="137" spans="1:9" hidden="1" x14ac:dyDescent="0.25"/>
  </sheetData>
  <mergeCells count="78">
    <mergeCell ref="A111:D111"/>
    <mergeCell ref="A126:D126"/>
    <mergeCell ref="A131:D131"/>
    <mergeCell ref="A1:I1"/>
    <mergeCell ref="A16:I16"/>
    <mergeCell ref="A39:D39"/>
    <mergeCell ref="A44:D44"/>
    <mergeCell ref="A75:D75"/>
    <mergeCell ref="A80:D80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52:D52"/>
    <mergeCell ref="C42:D42"/>
    <mergeCell ref="C43:D43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8:D68"/>
    <mergeCell ref="C69:D69"/>
    <mergeCell ref="C70:D70"/>
    <mergeCell ref="C71:D71"/>
    <mergeCell ref="C62:D62"/>
    <mergeCell ref="C63:D63"/>
    <mergeCell ref="C64:D64"/>
    <mergeCell ref="C65:D65"/>
    <mergeCell ref="C66:D66"/>
    <mergeCell ref="C67:D67"/>
    <mergeCell ref="C101:D101"/>
    <mergeCell ref="C102:D102"/>
    <mergeCell ref="C93:D93"/>
    <mergeCell ref="C94:D94"/>
    <mergeCell ref="C95:D95"/>
    <mergeCell ref="C96:D96"/>
    <mergeCell ref="C97:D97"/>
    <mergeCell ref="C98:D98"/>
    <mergeCell ref="C99:D99"/>
    <mergeCell ref="C100:D100"/>
    <mergeCell ref="C88:D88"/>
    <mergeCell ref="C89:D89"/>
    <mergeCell ref="C90:D90"/>
    <mergeCell ref="C91:D91"/>
    <mergeCell ref="C92:D92"/>
    <mergeCell ref="C72:D72"/>
    <mergeCell ref="C73:D73"/>
    <mergeCell ref="C74:D74"/>
    <mergeCell ref="C78:D78"/>
    <mergeCell ref="C79:D79"/>
    <mergeCell ref="C109:D109"/>
    <mergeCell ref="C110:D110"/>
    <mergeCell ref="C103:D103"/>
    <mergeCell ref="C104:D104"/>
    <mergeCell ref="C105:D105"/>
    <mergeCell ref="A106:D106"/>
  </mergeCells>
  <pageMargins left="0" right="0" top="0" bottom="0" header="0" footer="0"/>
  <pageSetup paperSize="346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FF12-1D09-41C2-93D7-2CFEE6D3C575}">
  <sheetPr>
    <tabColor rgb="FF00B050"/>
  </sheetPr>
  <dimension ref="A1:N119"/>
  <sheetViews>
    <sheetView showGridLines="0" topLeftCell="A39" workbookViewId="0">
      <selection activeCell="A6" sqref="A6:XFD9"/>
    </sheetView>
  </sheetViews>
  <sheetFormatPr defaultRowHeight="15" x14ac:dyDescent="0.25"/>
  <cols>
    <col min="1" max="1" width="11.7109375" customWidth="1"/>
    <col min="2" max="2" width="15" customWidth="1"/>
    <col min="3" max="3" width="9.7109375" customWidth="1"/>
    <col min="4" max="4" width="9.14062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  <col min="11" max="14" width="0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46199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80</v>
      </c>
      <c r="C7" s="4">
        <v>29</v>
      </c>
      <c r="D7" s="4" t="s">
        <v>22</v>
      </c>
      <c r="E7" s="15">
        <v>1350.5</v>
      </c>
      <c r="F7" s="15">
        <v>49.400000000000006</v>
      </c>
      <c r="G7" s="15">
        <f>E7-F7</f>
        <v>1301.0999999999999</v>
      </c>
      <c r="H7" s="6">
        <v>46185</v>
      </c>
      <c r="I7" s="6" t="s">
        <v>20</v>
      </c>
      <c r="L7">
        <v>29</v>
      </c>
    </row>
    <row r="8" spans="1:12" x14ac:dyDescent="0.25">
      <c r="A8" s="5" t="s">
        <v>1</v>
      </c>
      <c r="B8" s="5" t="s">
        <v>81</v>
      </c>
      <c r="C8" s="4">
        <v>28</v>
      </c>
      <c r="D8" s="4" t="s">
        <v>22</v>
      </c>
      <c r="E8" s="15">
        <v>1363</v>
      </c>
      <c r="F8" s="15">
        <v>32.4</v>
      </c>
      <c r="G8" s="15">
        <f t="shared" ref="G8:G11" si="0">E8-F8</f>
        <v>1330.6</v>
      </c>
      <c r="H8" s="6">
        <v>46185</v>
      </c>
      <c r="I8" s="6" t="s">
        <v>20</v>
      </c>
      <c r="L8">
        <v>28</v>
      </c>
    </row>
    <row r="9" spans="1:12" x14ac:dyDescent="0.25">
      <c r="A9" s="5" t="s">
        <v>1</v>
      </c>
      <c r="B9" s="5" t="s">
        <v>62</v>
      </c>
      <c r="C9" s="4">
        <v>4</v>
      </c>
      <c r="D9" s="4" t="s">
        <v>14</v>
      </c>
      <c r="E9" s="15">
        <v>367.2</v>
      </c>
      <c r="F9" s="15">
        <v>61.900000000000006</v>
      </c>
      <c r="G9" s="15">
        <f t="shared" si="0"/>
        <v>305.29999999999995</v>
      </c>
      <c r="H9" s="6">
        <v>46185</v>
      </c>
      <c r="I9" s="6" t="s">
        <v>20</v>
      </c>
      <c r="L9">
        <v>4</v>
      </c>
    </row>
    <row r="10" spans="1:12" hidden="1" x14ac:dyDescent="0.25">
      <c r="A10" s="5" t="s">
        <v>1</v>
      </c>
      <c r="B10" s="5" t="s">
        <v>12</v>
      </c>
      <c r="C10" s="5"/>
      <c r="D10" s="4" t="s">
        <v>14</v>
      </c>
      <c r="E10" s="15">
        <v>784.4</v>
      </c>
      <c r="F10" s="15">
        <v>122.4</v>
      </c>
      <c r="G10" s="15">
        <f t="shared" si="0"/>
        <v>662</v>
      </c>
      <c r="H10" s="6">
        <v>46179</v>
      </c>
      <c r="I10" s="6" t="s">
        <v>20</v>
      </c>
    </row>
    <row r="11" spans="1:12" hidden="1" x14ac:dyDescent="0.25">
      <c r="A11" s="5" t="s">
        <v>1</v>
      </c>
      <c r="B11" s="5" t="s">
        <v>13</v>
      </c>
      <c r="C11" s="5"/>
      <c r="D11" s="4" t="s">
        <v>61</v>
      </c>
      <c r="E11" s="15">
        <v>695.8</v>
      </c>
      <c r="F11" s="15">
        <v>5.6</v>
      </c>
      <c r="G11" s="15">
        <f t="shared" si="0"/>
        <v>690.19999999999993</v>
      </c>
      <c r="H11" s="6">
        <v>46179</v>
      </c>
      <c r="I11" s="6" t="s">
        <v>20</v>
      </c>
    </row>
    <row r="12" spans="1:12" ht="4.5" customHeight="1" x14ac:dyDescent="0.25"/>
    <row r="13" spans="1:12" x14ac:dyDescent="0.25">
      <c r="A13" s="19" t="s">
        <v>16</v>
      </c>
    </row>
    <row r="14" spans="1:12" ht="9.9499999999999993" customHeight="1" x14ac:dyDescent="0.25">
      <c r="A14" s="7" t="s">
        <v>98</v>
      </c>
    </row>
    <row r="15" spans="1:12" ht="9.9499999999999993" customHeight="1" x14ac:dyDescent="0.25">
      <c r="A15" s="7" t="s">
        <v>17</v>
      </c>
    </row>
    <row r="16" spans="1:12" ht="5.25" customHeight="1" x14ac:dyDescent="0.25"/>
    <row r="17" spans="1:9" x14ac:dyDescent="0.25">
      <c r="A17" s="72" t="s">
        <v>28</v>
      </c>
      <c r="B17" s="72"/>
      <c r="C17" s="72"/>
      <c r="D17" s="72"/>
      <c r="E17" s="72"/>
      <c r="F17" s="72"/>
      <c r="G17" s="72"/>
      <c r="H17" s="72"/>
      <c r="I17" s="72"/>
    </row>
    <row r="18" spans="1:9" ht="23.25" customHeight="1" thickBot="1" x14ac:dyDescent="0.3">
      <c r="A18" s="1" t="s">
        <v>126</v>
      </c>
      <c r="B18" s="1"/>
      <c r="C18" s="1"/>
    </row>
    <row r="19" spans="1:9" ht="16.5" thickTop="1" thickBot="1" x14ac:dyDescent="0.3">
      <c r="A19" s="9" t="s">
        <v>7</v>
      </c>
      <c r="B19" s="9" t="s">
        <v>2</v>
      </c>
      <c r="C19" s="73" t="s">
        <v>6</v>
      </c>
      <c r="D19" s="73"/>
      <c r="E19" s="10" t="s">
        <v>25</v>
      </c>
      <c r="F19" s="10" t="s">
        <v>3</v>
      </c>
      <c r="G19" s="10" t="s">
        <v>4</v>
      </c>
      <c r="H19" s="10" t="s">
        <v>5</v>
      </c>
      <c r="I19" s="11" t="s">
        <v>26</v>
      </c>
    </row>
    <row r="20" spans="1:9" ht="15.75" thickTop="1" x14ac:dyDescent="0.25">
      <c r="A20" t="s">
        <v>23</v>
      </c>
      <c r="B20" t="s">
        <v>80</v>
      </c>
      <c r="C20" s="74" t="s">
        <v>22</v>
      </c>
      <c r="D20" s="74"/>
      <c r="E20" s="3">
        <v>1</v>
      </c>
      <c r="F20" s="15">
        <v>48.8</v>
      </c>
      <c r="G20" s="15">
        <v>1.5</v>
      </c>
      <c r="H20" s="15">
        <f>F20-G20</f>
        <v>47.3</v>
      </c>
      <c r="I20" s="4" t="s">
        <v>20</v>
      </c>
    </row>
    <row r="21" spans="1:9" x14ac:dyDescent="0.25">
      <c r="A21" t="s">
        <v>23</v>
      </c>
      <c r="B21" t="s">
        <v>80</v>
      </c>
      <c r="C21" s="70" t="s">
        <v>22</v>
      </c>
      <c r="D21" s="70"/>
      <c r="E21" s="3">
        <f>E20+1</f>
        <v>2</v>
      </c>
      <c r="F21" s="15">
        <v>48.1</v>
      </c>
      <c r="G21" s="15">
        <v>1.8</v>
      </c>
      <c r="H21" s="15">
        <f t="shared" ref="H21:H24" si="1">F21-G21</f>
        <v>46.300000000000004</v>
      </c>
      <c r="I21" s="4" t="s">
        <v>20</v>
      </c>
    </row>
    <row r="22" spans="1:9" x14ac:dyDescent="0.25">
      <c r="A22" t="s">
        <v>23</v>
      </c>
      <c r="B22" t="s">
        <v>80</v>
      </c>
      <c r="C22" s="70" t="s">
        <v>22</v>
      </c>
      <c r="D22" s="70"/>
      <c r="E22" s="3">
        <f t="shared" ref="E22:E48" si="2">E21+1</f>
        <v>3</v>
      </c>
      <c r="F22" s="15">
        <v>45.1</v>
      </c>
      <c r="G22" s="15">
        <v>1.4</v>
      </c>
      <c r="H22" s="15">
        <f t="shared" si="1"/>
        <v>43.7</v>
      </c>
      <c r="I22" s="4" t="s">
        <v>20</v>
      </c>
    </row>
    <row r="23" spans="1:9" x14ac:dyDescent="0.25">
      <c r="A23" t="s">
        <v>23</v>
      </c>
      <c r="B23" t="s">
        <v>80</v>
      </c>
      <c r="C23" s="70" t="s">
        <v>22</v>
      </c>
      <c r="D23" s="70"/>
      <c r="E23" s="3">
        <f t="shared" si="2"/>
        <v>4</v>
      </c>
      <c r="F23" s="15">
        <v>49.4</v>
      </c>
      <c r="G23" s="15">
        <v>1.6</v>
      </c>
      <c r="H23" s="15">
        <f t="shared" si="1"/>
        <v>47.8</v>
      </c>
      <c r="I23" s="4" t="s">
        <v>20</v>
      </c>
    </row>
    <row r="24" spans="1:9" x14ac:dyDescent="0.25">
      <c r="A24" t="s">
        <v>23</v>
      </c>
      <c r="B24" t="s">
        <v>80</v>
      </c>
      <c r="C24" s="70" t="s">
        <v>22</v>
      </c>
      <c r="D24" s="70"/>
      <c r="E24" s="3">
        <f t="shared" si="2"/>
        <v>5</v>
      </c>
      <c r="F24" s="15">
        <v>48.4</v>
      </c>
      <c r="G24" s="15">
        <v>1.5</v>
      </c>
      <c r="H24" s="15">
        <f t="shared" si="1"/>
        <v>46.9</v>
      </c>
      <c r="I24" s="4" t="s">
        <v>20</v>
      </c>
    </row>
    <row r="25" spans="1:9" x14ac:dyDescent="0.25">
      <c r="A25" t="s">
        <v>23</v>
      </c>
      <c r="B25" t="s">
        <v>80</v>
      </c>
      <c r="C25" s="70" t="s">
        <v>22</v>
      </c>
      <c r="D25" s="70"/>
      <c r="E25" s="3">
        <f t="shared" si="2"/>
        <v>6</v>
      </c>
      <c r="F25" s="15">
        <v>46.4</v>
      </c>
      <c r="G25" s="15">
        <v>1.9</v>
      </c>
      <c r="H25" s="15">
        <f t="shared" ref="H25:H48" si="3">F25-G25</f>
        <v>44.5</v>
      </c>
      <c r="I25" s="4" t="s">
        <v>20</v>
      </c>
    </row>
    <row r="26" spans="1:9" x14ac:dyDescent="0.25">
      <c r="A26" t="s">
        <v>23</v>
      </c>
      <c r="B26" t="s">
        <v>80</v>
      </c>
      <c r="C26" s="70" t="s">
        <v>22</v>
      </c>
      <c r="D26" s="70"/>
      <c r="E26" s="3">
        <f t="shared" si="2"/>
        <v>7</v>
      </c>
      <c r="F26" s="15">
        <v>50.2</v>
      </c>
      <c r="G26" s="15">
        <v>1.4</v>
      </c>
      <c r="H26" s="15">
        <f t="shared" si="3"/>
        <v>48.800000000000004</v>
      </c>
      <c r="I26" s="4" t="s">
        <v>20</v>
      </c>
    </row>
    <row r="27" spans="1:9" x14ac:dyDescent="0.25">
      <c r="A27" t="s">
        <v>23</v>
      </c>
      <c r="B27" t="s">
        <v>80</v>
      </c>
      <c r="C27" s="70" t="s">
        <v>22</v>
      </c>
      <c r="D27" s="70"/>
      <c r="E27" s="3">
        <f t="shared" si="2"/>
        <v>8</v>
      </c>
      <c r="F27" s="15">
        <v>39.6</v>
      </c>
      <c r="G27" s="15">
        <v>1.9</v>
      </c>
      <c r="H27" s="15">
        <f t="shared" si="3"/>
        <v>37.700000000000003</v>
      </c>
      <c r="I27" s="4" t="s">
        <v>20</v>
      </c>
    </row>
    <row r="28" spans="1:9" x14ac:dyDescent="0.25">
      <c r="A28" t="s">
        <v>23</v>
      </c>
      <c r="B28" t="s">
        <v>80</v>
      </c>
      <c r="C28" s="70" t="s">
        <v>22</v>
      </c>
      <c r="D28" s="70"/>
      <c r="E28" s="3">
        <f t="shared" si="2"/>
        <v>9</v>
      </c>
      <c r="F28" s="15">
        <v>47.1</v>
      </c>
      <c r="G28" s="15">
        <v>1.7</v>
      </c>
      <c r="H28" s="15">
        <f t="shared" si="3"/>
        <v>45.4</v>
      </c>
      <c r="I28" s="4" t="s">
        <v>20</v>
      </c>
    </row>
    <row r="29" spans="1:9" x14ac:dyDescent="0.25">
      <c r="A29" t="s">
        <v>23</v>
      </c>
      <c r="B29" t="s">
        <v>80</v>
      </c>
      <c r="C29" s="70" t="s">
        <v>22</v>
      </c>
      <c r="D29" s="70"/>
      <c r="E29" s="3">
        <f t="shared" si="2"/>
        <v>10</v>
      </c>
      <c r="F29" s="15">
        <v>52.2</v>
      </c>
      <c r="G29" s="15">
        <v>1.5</v>
      </c>
      <c r="H29" s="15">
        <f t="shared" si="3"/>
        <v>50.7</v>
      </c>
      <c r="I29" s="4" t="s">
        <v>20</v>
      </c>
    </row>
    <row r="30" spans="1:9" x14ac:dyDescent="0.25">
      <c r="A30" t="s">
        <v>23</v>
      </c>
      <c r="B30" t="s">
        <v>80</v>
      </c>
      <c r="C30" s="70" t="s">
        <v>22</v>
      </c>
      <c r="D30" s="70"/>
      <c r="E30" s="3">
        <f t="shared" si="2"/>
        <v>11</v>
      </c>
      <c r="F30" s="15">
        <v>49</v>
      </c>
      <c r="G30" s="15">
        <v>1.7</v>
      </c>
      <c r="H30" s="15">
        <f t="shared" si="3"/>
        <v>47.3</v>
      </c>
      <c r="I30" s="4" t="s">
        <v>20</v>
      </c>
    </row>
    <row r="31" spans="1:9" x14ac:dyDescent="0.25">
      <c r="A31" t="s">
        <v>23</v>
      </c>
      <c r="B31" t="s">
        <v>80</v>
      </c>
      <c r="C31" s="70" t="s">
        <v>22</v>
      </c>
      <c r="D31" s="70"/>
      <c r="E31" s="3">
        <f t="shared" si="2"/>
        <v>12</v>
      </c>
      <c r="F31" s="15">
        <v>45.2</v>
      </c>
      <c r="G31" s="15">
        <v>1.8</v>
      </c>
      <c r="H31" s="15">
        <f t="shared" si="3"/>
        <v>43.400000000000006</v>
      </c>
      <c r="I31" s="4" t="s">
        <v>20</v>
      </c>
    </row>
    <row r="32" spans="1:9" x14ac:dyDescent="0.25">
      <c r="A32" t="s">
        <v>23</v>
      </c>
      <c r="B32" t="s">
        <v>80</v>
      </c>
      <c r="C32" s="70" t="s">
        <v>22</v>
      </c>
      <c r="D32" s="70"/>
      <c r="E32" s="3">
        <f t="shared" si="2"/>
        <v>13</v>
      </c>
      <c r="F32" s="15">
        <v>44.9</v>
      </c>
      <c r="G32" s="15">
        <v>1.9</v>
      </c>
      <c r="H32" s="15">
        <f t="shared" si="3"/>
        <v>43</v>
      </c>
      <c r="I32" s="4" t="s">
        <v>20</v>
      </c>
    </row>
    <row r="33" spans="1:9" x14ac:dyDescent="0.25">
      <c r="A33" t="s">
        <v>23</v>
      </c>
      <c r="B33" t="s">
        <v>80</v>
      </c>
      <c r="C33" s="70" t="s">
        <v>22</v>
      </c>
      <c r="D33" s="70"/>
      <c r="E33" s="3">
        <f t="shared" si="2"/>
        <v>14</v>
      </c>
      <c r="F33" s="15">
        <v>57.5</v>
      </c>
      <c r="G33" s="15">
        <v>1.8</v>
      </c>
      <c r="H33" s="15">
        <f t="shared" si="3"/>
        <v>55.7</v>
      </c>
      <c r="I33" s="4" t="s">
        <v>20</v>
      </c>
    </row>
    <row r="34" spans="1:9" x14ac:dyDescent="0.25">
      <c r="A34" t="s">
        <v>23</v>
      </c>
      <c r="B34" t="s">
        <v>80</v>
      </c>
      <c r="C34" s="70" t="s">
        <v>22</v>
      </c>
      <c r="D34" s="70"/>
      <c r="E34" s="3">
        <f t="shared" si="2"/>
        <v>15</v>
      </c>
      <c r="F34" s="15">
        <v>50.5</v>
      </c>
      <c r="G34" s="15">
        <v>2</v>
      </c>
      <c r="H34" s="15">
        <f t="shared" si="3"/>
        <v>48.5</v>
      </c>
      <c r="I34" s="4" t="s">
        <v>20</v>
      </c>
    </row>
    <row r="35" spans="1:9" x14ac:dyDescent="0.25">
      <c r="A35" t="s">
        <v>23</v>
      </c>
      <c r="B35" t="s">
        <v>80</v>
      </c>
      <c r="C35" s="70" t="s">
        <v>22</v>
      </c>
      <c r="D35" s="70"/>
      <c r="E35" s="3">
        <f t="shared" si="2"/>
        <v>16</v>
      </c>
      <c r="F35" s="15">
        <v>52.4</v>
      </c>
      <c r="G35" s="15">
        <v>2</v>
      </c>
      <c r="H35" s="15">
        <f t="shared" si="3"/>
        <v>50.4</v>
      </c>
      <c r="I35" s="4" t="s">
        <v>20</v>
      </c>
    </row>
    <row r="36" spans="1:9" x14ac:dyDescent="0.25">
      <c r="A36" t="s">
        <v>23</v>
      </c>
      <c r="B36" t="s">
        <v>80</v>
      </c>
      <c r="C36" s="70" t="s">
        <v>22</v>
      </c>
      <c r="D36" s="70"/>
      <c r="E36" s="3">
        <f t="shared" si="2"/>
        <v>17</v>
      </c>
      <c r="F36" s="15">
        <v>38.200000000000003</v>
      </c>
      <c r="G36" s="15">
        <v>2.1</v>
      </c>
      <c r="H36" s="15">
        <f t="shared" si="3"/>
        <v>36.1</v>
      </c>
      <c r="I36" s="4" t="s">
        <v>20</v>
      </c>
    </row>
    <row r="37" spans="1:9" x14ac:dyDescent="0.25">
      <c r="A37" t="s">
        <v>23</v>
      </c>
      <c r="B37" t="s">
        <v>80</v>
      </c>
      <c r="C37" s="70" t="s">
        <v>22</v>
      </c>
      <c r="D37" s="70"/>
      <c r="E37" s="3">
        <f t="shared" si="2"/>
        <v>18</v>
      </c>
      <c r="F37" s="15">
        <v>35.299999999999997</v>
      </c>
      <c r="G37" s="15">
        <v>1.7</v>
      </c>
      <c r="H37" s="15">
        <f t="shared" si="3"/>
        <v>33.599999999999994</v>
      </c>
      <c r="I37" s="4" t="s">
        <v>20</v>
      </c>
    </row>
    <row r="38" spans="1:9" x14ac:dyDescent="0.25">
      <c r="A38" t="s">
        <v>23</v>
      </c>
      <c r="B38" t="s">
        <v>80</v>
      </c>
      <c r="C38" s="70" t="s">
        <v>22</v>
      </c>
      <c r="D38" s="70"/>
      <c r="E38" s="3">
        <f t="shared" si="2"/>
        <v>19</v>
      </c>
      <c r="F38" s="15">
        <v>41.9</v>
      </c>
      <c r="G38" s="15">
        <v>2</v>
      </c>
      <c r="H38" s="15">
        <f t="shared" si="3"/>
        <v>39.9</v>
      </c>
      <c r="I38" s="4" t="s">
        <v>20</v>
      </c>
    </row>
    <row r="39" spans="1:9" x14ac:dyDescent="0.25">
      <c r="A39" t="s">
        <v>23</v>
      </c>
      <c r="B39" t="s">
        <v>80</v>
      </c>
      <c r="C39" s="70" t="s">
        <v>22</v>
      </c>
      <c r="D39" s="70"/>
      <c r="E39" s="3">
        <f t="shared" si="2"/>
        <v>20</v>
      </c>
      <c r="F39" s="15">
        <v>55.3</v>
      </c>
      <c r="G39" s="15">
        <v>2.2000000000000002</v>
      </c>
      <c r="H39" s="15">
        <f t="shared" si="3"/>
        <v>53.099999999999994</v>
      </c>
      <c r="I39" s="4" t="s">
        <v>20</v>
      </c>
    </row>
    <row r="40" spans="1:9" x14ac:dyDescent="0.25">
      <c r="A40" t="s">
        <v>23</v>
      </c>
      <c r="B40" t="s">
        <v>80</v>
      </c>
      <c r="C40" s="70" t="s">
        <v>22</v>
      </c>
      <c r="D40" s="70"/>
      <c r="E40" s="3">
        <f t="shared" si="2"/>
        <v>21</v>
      </c>
      <c r="F40" s="15">
        <v>46.7</v>
      </c>
      <c r="G40" s="15">
        <v>1.9</v>
      </c>
      <c r="H40" s="15">
        <f t="shared" si="3"/>
        <v>44.800000000000004</v>
      </c>
      <c r="I40" s="4" t="s">
        <v>20</v>
      </c>
    </row>
    <row r="41" spans="1:9" x14ac:dyDescent="0.25">
      <c r="A41" t="s">
        <v>23</v>
      </c>
      <c r="B41" t="s">
        <v>80</v>
      </c>
      <c r="C41" s="70" t="s">
        <v>22</v>
      </c>
      <c r="D41" s="70"/>
      <c r="E41" s="3">
        <f t="shared" si="2"/>
        <v>22</v>
      </c>
      <c r="F41" s="15">
        <v>46.1</v>
      </c>
      <c r="G41" s="15">
        <v>2</v>
      </c>
      <c r="H41" s="15">
        <f t="shared" si="3"/>
        <v>44.1</v>
      </c>
      <c r="I41" s="4" t="s">
        <v>20</v>
      </c>
    </row>
    <row r="42" spans="1:9" x14ac:dyDescent="0.25">
      <c r="A42" t="s">
        <v>23</v>
      </c>
      <c r="B42" t="s">
        <v>80</v>
      </c>
      <c r="C42" s="70" t="s">
        <v>22</v>
      </c>
      <c r="D42" s="70"/>
      <c r="E42" s="3">
        <f t="shared" si="2"/>
        <v>23</v>
      </c>
      <c r="F42" s="15">
        <v>46.7</v>
      </c>
      <c r="G42" s="15">
        <v>2.2000000000000002</v>
      </c>
      <c r="H42" s="15">
        <f t="shared" si="3"/>
        <v>44.5</v>
      </c>
      <c r="I42" s="4" t="s">
        <v>20</v>
      </c>
    </row>
    <row r="43" spans="1:9" x14ac:dyDescent="0.25">
      <c r="A43" t="s">
        <v>23</v>
      </c>
      <c r="B43" t="s">
        <v>80</v>
      </c>
      <c r="C43" s="70" t="s">
        <v>22</v>
      </c>
      <c r="D43" s="70"/>
      <c r="E43" s="3">
        <f t="shared" si="2"/>
        <v>24</v>
      </c>
      <c r="F43" s="15">
        <v>44.6</v>
      </c>
      <c r="G43" s="15">
        <v>1.9</v>
      </c>
      <c r="H43" s="15">
        <f t="shared" si="3"/>
        <v>42.7</v>
      </c>
      <c r="I43" s="4" t="s">
        <v>20</v>
      </c>
    </row>
    <row r="44" spans="1:9" x14ac:dyDescent="0.25">
      <c r="A44" t="s">
        <v>23</v>
      </c>
      <c r="B44" t="s">
        <v>80</v>
      </c>
      <c r="C44" s="70" t="s">
        <v>22</v>
      </c>
      <c r="D44" s="70"/>
      <c r="E44" s="3">
        <f t="shared" si="2"/>
        <v>25</v>
      </c>
      <c r="F44" s="15">
        <v>45.4</v>
      </c>
      <c r="G44" s="15">
        <v>1.1000000000000001</v>
      </c>
      <c r="H44" s="15">
        <f t="shared" si="3"/>
        <v>44.3</v>
      </c>
      <c r="I44" s="4" t="s">
        <v>20</v>
      </c>
    </row>
    <row r="45" spans="1:9" x14ac:dyDescent="0.25">
      <c r="A45" t="s">
        <v>23</v>
      </c>
      <c r="B45" t="s">
        <v>80</v>
      </c>
      <c r="C45" s="70" t="s">
        <v>22</v>
      </c>
      <c r="D45" s="70"/>
      <c r="E45" s="3">
        <f t="shared" si="2"/>
        <v>26</v>
      </c>
      <c r="F45" s="15">
        <v>47.2</v>
      </c>
      <c r="G45" s="15">
        <v>1</v>
      </c>
      <c r="H45" s="15">
        <f t="shared" si="3"/>
        <v>46.2</v>
      </c>
      <c r="I45" s="4" t="s">
        <v>20</v>
      </c>
    </row>
    <row r="46" spans="1:9" x14ac:dyDescent="0.25">
      <c r="A46" t="s">
        <v>23</v>
      </c>
      <c r="B46" t="s">
        <v>80</v>
      </c>
      <c r="C46" s="70" t="s">
        <v>22</v>
      </c>
      <c r="D46" s="70"/>
      <c r="E46" s="3">
        <f t="shared" si="2"/>
        <v>27</v>
      </c>
      <c r="F46" s="15">
        <v>43.9</v>
      </c>
      <c r="G46" s="15">
        <v>1.1000000000000001</v>
      </c>
      <c r="H46" s="15">
        <f t="shared" si="3"/>
        <v>42.8</v>
      </c>
      <c r="I46" s="4" t="s">
        <v>20</v>
      </c>
    </row>
    <row r="47" spans="1:9" x14ac:dyDescent="0.25">
      <c r="A47" t="s">
        <v>23</v>
      </c>
      <c r="B47" t="s">
        <v>80</v>
      </c>
      <c r="C47" s="70" t="s">
        <v>22</v>
      </c>
      <c r="D47" s="70"/>
      <c r="E47" s="3">
        <f t="shared" si="2"/>
        <v>28</v>
      </c>
      <c r="F47" s="15">
        <v>47.7</v>
      </c>
      <c r="G47" s="15">
        <v>1.4</v>
      </c>
      <c r="H47" s="15">
        <f t="shared" si="3"/>
        <v>46.300000000000004</v>
      </c>
      <c r="I47" s="4" t="s">
        <v>20</v>
      </c>
    </row>
    <row r="48" spans="1:9" ht="15.75" thickBot="1" x14ac:dyDescent="0.3">
      <c r="A48" t="s">
        <v>23</v>
      </c>
      <c r="B48" t="s">
        <v>80</v>
      </c>
      <c r="C48" s="78" t="s">
        <v>22</v>
      </c>
      <c r="D48" s="78"/>
      <c r="E48" s="3">
        <f t="shared" si="2"/>
        <v>29</v>
      </c>
      <c r="F48" s="15">
        <v>37.4</v>
      </c>
      <c r="G48" s="15">
        <v>1.4</v>
      </c>
      <c r="H48" s="15">
        <f t="shared" si="3"/>
        <v>36</v>
      </c>
      <c r="I48" s="4" t="s">
        <v>20</v>
      </c>
    </row>
    <row r="49" spans="1:11" ht="16.5" thickTop="1" thickBot="1" x14ac:dyDescent="0.3">
      <c r="A49" s="75" t="s">
        <v>27</v>
      </c>
      <c r="B49" s="75"/>
      <c r="C49" s="75"/>
      <c r="D49" s="75"/>
      <c r="E49" s="12">
        <f>E48</f>
        <v>29</v>
      </c>
      <c r="F49" s="14">
        <f>SUM(F20:F48)</f>
        <v>1351.2000000000003</v>
      </c>
      <c r="G49" s="14">
        <f>SUM(G20:G48)</f>
        <v>49.400000000000006</v>
      </c>
      <c r="H49" s="14">
        <f>SUM(H20:H48)</f>
        <v>1301.8</v>
      </c>
      <c r="I49" s="13"/>
      <c r="K49" s="27">
        <f>E7-F49</f>
        <v>-0.70000000000027285</v>
      </c>
    </row>
    <row r="50" spans="1:11" ht="6.75" customHeight="1" thickTop="1" x14ac:dyDescent="0.25"/>
    <row r="51" spans="1:11" ht="15.75" thickBot="1" x14ac:dyDescent="0.3">
      <c r="A51" s="1" t="s">
        <v>29</v>
      </c>
    </row>
    <row r="52" spans="1:11" ht="30" customHeight="1" thickTop="1" thickBot="1" x14ac:dyDescent="0.3">
      <c r="A52" s="9" t="s">
        <v>7</v>
      </c>
      <c r="B52" s="9" t="s">
        <v>2</v>
      </c>
      <c r="C52" s="73" t="s">
        <v>6</v>
      </c>
      <c r="D52" s="73"/>
      <c r="E52" s="11" t="s">
        <v>30</v>
      </c>
      <c r="F52" s="11" t="s">
        <v>31</v>
      </c>
      <c r="G52" s="11" t="s">
        <v>32</v>
      </c>
      <c r="H52" s="11" t="s">
        <v>33</v>
      </c>
      <c r="I52" s="11" t="s">
        <v>37</v>
      </c>
    </row>
    <row r="53" spans="1:11" ht="16.5" thickTop="1" thickBot="1" x14ac:dyDescent="0.3">
      <c r="A53" t="s">
        <v>23</v>
      </c>
      <c r="B53" t="s">
        <v>80</v>
      </c>
      <c r="C53" s="76" t="s">
        <v>22</v>
      </c>
      <c r="D53" s="76"/>
      <c r="E53" s="15">
        <v>827.2</v>
      </c>
      <c r="F53" s="15">
        <v>443.4</v>
      </c>
      <c r="G53" s="15">
        <v>17.899999999999999</v>
      </c>
      <c r="H53" s="15">
        <f>IF(E53="","",(H49-E53-F53-G53))</f>
        <v>13.299999999999933</v>
      </c>
      <c r="I53" s="15">
        <f>IF(E53="","",SUM(E53:H53))</f>
        <v>1301.8</v>
      </c>
    </row>
    <row r="54" spans="1:11" ht="16.5" thickTop="1" thickBot="1" x14ac:dyDescent="0.3">
      <c r="A54" s="77" t="s">
        <v>52</v>
      </c>
      <c r="B54" s="77"/>
      <c r="C54" s="77"/>
      <c r="D54" s="77"/>
      <c r="E54" s="20">
        <f>IF(E53="","",E53/$H49)</f>
        <v>0.63542786910431714</v>
      </c>
      <c r="F54" s="38">
        <f>IF(F53="","",F53/$H49)</f>
        <v>0.34060531571669994</v>
      </c>
      <c r="G54" s="38">
        <f t="shared" ref="G54:H54" si="4">IF(G53="","",G53/$H49)</f>
        <v>1.3750192041788293E-2</v>
      </c>
      <c r="H54" s="38">
        <f t="shared" si="4"/>
        <v>1.0216623137194602E-2</v>
      </c>
      <c r="I54" s="17">
        <f>IF(I53="","",SUM(E54:H54))</f>
        <v>1</v>
      </c>
    </row>
    <row r="55" spans="1:11" ht="15.75" thickTop="1" x14ac:dyDescent="0.25">
      <c r="A55" s="19" t="s">
        <v>16</v>
      </c>
    </row>
    <row r="56" spans="1:11" ht="9.9499999999999993" customHeight="1" x14ac:dyDescent="0.25">
      <c r="A56" s="7" t="s">
        <v>36</v>
      </c>
    </row>
    <row r="57" spans="1:11" ht="9.9499999999999993" customHeight="1" x14ac:dyDescent="0.25">
      <c r="A57" s="7" t="s">
        <v>35</v>
      </c>
    </row>
    <row r="58" spans="1:11" ht="9.9499999999999993" customHeight="1" x14ac:dyDescent="0.25">
      <c r="A58" s="7" t="s">
        <v>34</v>
      </c>
    </row>
    <row r="59" spans="1:11" ht="9.9499999999999993" customHeight="1" x14ac:dyDescent="0.25">
      <c r="A59" s="7" t="s">
        <v>50</v>
      </c>
    </row>
    <row r="60" spans="1:11" ht="6" customHeight="1" x14ac:dyDescent="0.25"/>
    <row r="61" spans="1:11" ht="15.75" thickBot="1" x14ac:dyDescent="0.3">
      <c r="A61" s="1" t="s">
        <v>127</v>
      </c>
      <c r="B61" s="1"/>
      <c r="C61" s="1"/>
    </row>
    <row r="62" spans="1:11" ht="16.5" thickTop="1" thickBot="1" x14ac:dyDescent="0.3">
      <c r="A62" s="9" t="s">
        <v>7</v>
      </c>
      <c r="B62" s="9" t="s">
        <v>2</v>
      </c>
      <c r="C62" s="73" t="s">
        <v>6</v>
      </c>
      <c r="D62" s="73"/>
      <c r="E62" s="10" t="s">
        <v>25</v>
      </c>
      <c r="F62" s="10" t="s">
        <v>3</v>
      </c>
      <c r="G62" s="10" t="s">
        <v>4</v>
      </c>
      <c r="H62" s="10" t="s">
        <v>5</v>
      </c>
      <c r="I62" s="11" t="s">
        <v>26</v>
      </c>
    </row>
    <row r="63" spans="1:11" ht="15.75" thickTop="1" x14ac:dyDescent="0.25">
      <c r="A63" t="s">
        <v>23</v>
      </c>
      <c r="B63" t="s">
        <v>81</v>
      </c>
      <c r="C63" s="74" t="s">
        <v>22</v>
      </c>
      <c r="D63" s="74"/>
      <c r="E63" s="3">
        <v>1</v>
      </c>
      <c r="F63" s="15">
        <v>49.4</v>
      </c>
      <c r="G63" s="15">
        <v>1.1000000000000001</v>
      </c>
      <c r="H63" s="15">
        <f>F63-G63</f>
        <v>48.3</v>
      </c>
      <c r="I63" s="4" t="s">
        <v>20</v>
      </c>
    </row>
    <row r="64" spans="1:11" x14ac:dyDescent="0.25">
      <c r="A64" t="s">
        <v>23</v>
      </c>
      <c r="B64" t="s">
        <v>81</v>
      </c>
      <c r="C64" s="70" t="s">
        <v>22</v>
      </c>
      <c r="D64" s="70"/>
      <c r="E64" s="3">
        <f>E63+1</f>
        <v>2</v>
      </c>
      <c r="F64" s="15">
        <v>47</v>
      </c>
      <c r="G64" s="15">
        <v>1.2</v>
      </c>
      <c r="H64" s="15">
        <f t="shared" ref="H64:H80" si="5">F64-G64</f>
        <v>45.8</v>
      </c>
      <c r="I64" s="4" t="s">
        <v>20</v>
      </c>
    </row>
    <row r="65" spans="1:9" x14ac:dyDescent="0.25">
      <c r="A65" t="s">
        <v>23</v>
      </c>
      <c r="B65" t="s">
        <v>81</v>
      </c>
      <c r="C65" s="70" t="s">
        <v>22</v>
      </c>
      <c r="D65" s="70"/>
      <c r="E65" s="3">
        <f t="shared" ref="E65:E90" si="6">E64+1</f>
        <v>3</v>
      </c>
      <c r="F65" s="15">
        <v>51</v>
      </c>
      <c r="G65" s="15">
        <v>1</v>
      </c>
      <c r="H65" s="15">
        <f t="shared" si="5"/>
        <v>50</v>
      </c>
      <c r="I65" s="4" t="s">
        <v>20</v>
      </c>
    </row>
    <row r="66" spans="1:9" x14ac:dyDescent="0.25">
      <c r="A66" t="s">
        <v>23</v>
      </c>
      <c r="B66" t="s">
        <v>81</v>
      </c>
      <c r="C66" s="70" t="s">
        <v>22</v>
      </c>
      <c r="D66" s="70"/>
      <c r="E66" s="3">
        <f t="shared" si="6"/>
        <v>4</v>
      </c>
      <c r="F66" s="15">
        <v>47.8</v>
      </c>
      <c r="G66" s="15">
        <v>1.6</v>
      </c>
      <c r="H66" s="15">
        <f t="shared" si="5"/>
        <v>46.199999999999996</v>
      </c>
      <c r="I66" s="4" t="s">
        <v>20</v>
      </c>
    </row>
    <row r="67" spans="1:9" x14ac:dyDescent="0.25">
      <c r="A67" t="s">
        <v>23</v>
      </c>
      <c r="B67" t="s">
        <v>81</v>
      </c>
      <c r="C67" s="70" t="s">
        <v>22</v>
      </c>
      <c r="D67" s="70"/>
      <c r="E67" s="3">
        <f t="shared" si="6"/>
        <v>5</v>
      </c>
      <c r="F67" s="15">
        <v>45.9</v>
      </c>
      <c r="G67" s="15">
        <v>1.1000000000000001</v>
      </c>
      <c r="H67" s="15">
        <f t="shared" si="5"/>
        <v>44.8</v>
      </c>
      <c r="I67" s="4" t="s">
        <v>20</v>
      </c>
    </row>
    <row r="68" spans="1:9" x14ac:dyDescent="0.25">
      <c r="A68" t="s">
        <v>23</v>
      </c>
      <c r="B68" t="s">
        <v>81</v>
      </c>
      <c r="C68" s="70" t="s">
        <v>22</v>
      </c>
      <c r="D68" s="70"/>
      <c r="E68" s="3">
        <f t="shared" si="6"/>
        <v>6</v>
      </c>
      <c r="F68" s="15">
        <v>43.8</v>
      </c>
      <c r="G68" s="15">
        <v>1</v>
      </c>
      <c r="H68" s="15">
        <f t="shared" si="5"/>
        <v>42.8</v>
      </c>
      <c r="I68" s="4" t="s">
        <v>20</v>
      </c>
    </row>
    <row r="69" spans="1:9" x14ac:dyDescent="0.25">
      <c r="A69" t="s">
        <v>23</v>
      </c>
      <c r="B69" t="s">
        <v>81</v>
      </c>
      <c r="C69" s="70" t="s">
        <v>22</v>
      </c>
      <c r="D69" s="70"/>
      <c r="E69" s="3">
        <f t="shared" si="6"/>
        <v>7</v>
      </c>
      <c r="F69" s="15">
        <v>51.6</v>
      </c>
      <c r="G69" s="15">
        <v>1</v>
      </c>
      <c r="H69" s="15">
        <f t="shared" si="5"/>
        <v>50.6</v>
      </c>
      <c r="I69" s="4" t="s">
        <v>20</v>
      </c>
    </row>
    <row r="70" spans="1:9" x14ac:dyDescent="0.25">
      <c r="A70" t="s">
        <v>23</v>
      </c>
      <c r="B70" t="s">
        <v>81</v>
      </c>
      <c r="C70" s="70" t="s">
        <v>22</v>
      </c>
      <c r="D70" s="70"/>
      <c r="E70" s="3">
        <f t="shared" si="6"/>
        <v>8</v>
      </c>
      <c r="F70" s="15">
        <v>48.1</v>
      </c>
      <c r="G70" s="15">
        <v>1.1000000000000001</v>
      </c>
      <c r="H70" s="15">
        <f t="shared" si="5"/>
        <v>47</v>
      </c>
      <c r="I70" s="4" t="s">
        <v>20</v>
      </c>
    </row>
    <row r="71" spans="1:9" x14ac:dyDescent="0.25">
      <c r="A71" t="s">
        <v>23</v>
      </c>
      <c r="B71" t="s">
        <v>81</v>
      </c>
      <c r="C71" s="70" t="s">
        <v>22</v>
      </c>
      <c r="D71" s="70"/>
      <c r="E71" s="3">
        <f t="shared" si="6"/>
        <v>9</v>
      </c>
      <c r="F71" s="15">
        <v>48</v>
      </c>
      <c r="G71" s="15">
        <v>1.2</v>
      </c>
      <c r="H71" s="15">
        <f t="shared" si="5"/>
        <v>46.8</v>
      </c>
      <c r="I71" s="4" t="s">
        <v>20</v>
      </c>
    </row>
    <row r="72" spans="1:9" x14ac:dyDescent="0.25">
      <c r="A72" t="s">
        <v>23</v>
      </c>
      <c r="B72" t="s">
        <v>81</v>
      </c>
      <c r="C72" s="70" t="s">
        <v>22</v>
      </c>
      <c r="D72" s="70"/>
      <c r="E72" s="3">
        <f t="shared" si="6"/>
        <v>10</v>
      </c>
      <c r="F72" s="15">
        <v>49.6</v>
      </c>
      <c r="G72" s="15">
        <v>1.2</v>
      </c>
      <c r="H72" s="15">
        <f t="shared" si="5"/>
        <v>48.4</v>
      </c>
      <c r="I72" s="4" t="s">
        <v>20</v>
      </c>
    </row>
    <row r="73" spans="1:9" x14ac:dyDescent="0.25">
      <c r="A73" t="s">
        <v>23</v>
      </c>
      <c r="B73" t="s">
        <v>81</v>
      </c>
      <c r="C73" s="70" t="s">
        <v>22</v>
      </c>
      <c r="D73" s="70"/>
      <c r="E73" s="3">
        <f t="shared" si="6"/>
        <v>11</v>
      </c>
      <c r="F73" s="15">
        <v>49.8</v>
      </c>
      <c r="G73" s="15">
        <v>1.2</v>
      </c>
      <c r="H73" s="15">
        <f t="shared" si="5"/>
        <v>48.599999999999994</v>
      </c>
      <c r="I73" s="4" t="s">
        <v>20</v>
      </c>
    </row>
    <row r="74" spans="1:9" x14ac:dyDescent="0.25">
      <c r="A74" t="s">
        <v>23</v>
      </c>
      <c r="B74" t="s">
        <v>81</v>
      </c>
      <c r="C74" s="70" t="s">
        <v>22</v>
      </c>
      <c r="D74" s="70"/>
      <c r="E74" s="3">
        <f t="shared" si="6"/>
        <v>12</v>
      </c>
      <c r="F74" s="15">
        <v>50.2</v>
      </c>
      <c r="G74" s="15">
        <v>1.5</v>
      </c>
      <c r="H74" s="15">
        <f t="shared" si="5"/>
        <v>48.7</v>
      </c>
      <c r="I74" s="4" t="s">
        <v>20</v>
      </c>
    </row>
    <row r="75" spans="1:9" x14ac:dyDescent="0.25">
      <c r="A75" t="s">
        <v>23</v>
      </c>
      <c r="B75" t="s">
        <v>81</v>
      </c>
      <c r="C75" s="70" t="s">
        <v>22</v>
      </c>
      <c r="D75" s="70"/>
      <c r="E75" s="3">
        <f t="shared" si="6"/>
        <v>13</v>
      </c>
      <c r="F75" s="15">
        <v>48.8</v>
      </c>
      <c r="G75" s="15">
        <v>1.1000000000000001</v>
      </c>
      <c r="H75" s="15">
        <f t="shared" si="5"/>
        <v>47.699999999999996</v>
      </c>
      <c r="I75" s="4" t="s">
        <v>20</v>
      </c>
    </row>
    <row r="76" spans="1:9" x14ac:dyDescent="0.25">
      <c r="A76" t="s">
        <v>23</v>
      </c>
      <c r="B76" t="s">
        <v>81</v>
      </c>
      <c r="C76" s="70" t="s">
        <v>22</v>
      </c>
      <c r="D76" s="70"/>
      <c r="E76" s="3">
        <f t="shared" si="6"/>
        <v>14</v>
      </c>
      <c r="F76" s="15">
        <v>48</v>
      </c>
      <c r="G76" s="15">
        <v>1.2</v>
      </c>
      <c r="H76" s="15">
        <f t="shared" si="5"/>
        <v>46.8</v>
      </c>
      <c r="I76" s="4" t="s">
        <v>20</v>
      </c>
    </row>
    <row r="77" spans="1:9" x14ac:dyDescent="0.25">
      <c r="A77" t="s">
        <v>23</v>
      </c>
      <c r="B77" t="s">
        <v>81</v>
      </c>
      <c r="C77" s="70" t="s">
        <v>22</v>
      </c>
      <c r="D77" s="70"/>
      <c r="E77" s="3">
        <f t="shared" si="6"/>
        <v>15</v>
      </c>
      <c r="F77" s="15">
        <v>51.6</v>
      </c>
      <c r="G77" s="15">
        <v>1</v>
      </c>
      <c r="H77" s="15">
        <f t="shared" si="5"/>
        <v>50.6</v>
      </c>
      <c r="I77" s="4" t="s">
        <v>20</v>
      </c>
    </row>
    <row r="78" spans="1:9" x14ac:dyDescent="0.25">
      <c r="A78" t="s">
        <v>23</v>
      </c>
      <c r="B78" t="s">
        <v>81</v>
      </c>
      <c r="C78" s="70" t="s">
        <v>22</v>
      </c>
      <c r="D78" s="70"/>
      <c r="E78" s="3">
        <f t="shared" si="6"/>
        <v>16</v>
      </c>
      <c r="F78" s="15">
        <v>50.4</v>
      </c>
      <c r="G78" s="15">
        <v>1</v>
      </c>
      <c r="H78" s="15">
        <f t="shared" si="5"/>
        <v>49.4</v>
      </c>
      <c r="I78" s="4" t="s">
        <v>20</v>
      </c>
    </row>
    <row r="79" spans="1:9" x14ac:dyDescent="0.25">
      <c r="A79" t="s">
        <v>23</v>
      </c>
      <c r="B79" t="s">
        <v>81</v>
      </c>
      <c r="C79" s="70" t="s">
        <v>22</v>
      </c>
      <c r="D79" s="70"/>
      <c r="E79" s="3">
        <f t="shared" si="6"/>
        <v>17</v>
      </c>
      <c r="F79" s="15">
        <v>49.6</v>
      </c>
      <c r="G79" s="15">
        <v>1</v>
      </c>
      <c r="H79" s="15">
        <f t="shared" si="5"/>
        <v>48.6</v>
      </c>
      <c r="I79" s="4" t="s">
        <v>20</v>
      </c>
    </row>
    <row r="80" spans="1:9" x14ac:dyDescent="0.25">
      <c r="A80" t="s">
        <v>23</v>
      </c>
      <c r="B80" t="s">
        <v>81</v>
      </c>
      <c r="C80" s="70" t="s">
        <v>22</v>
      </c>
      <c r="D80" s="70"/>
      <c r="E80" s="3">
        <f t="shared" si="6"/>
        <v>18</v>
      </c>
      <c r="F80" s="15">
        <v>48.7</v>
      </c>
      <c r="G80" s="15">
        <v>1.4</v>
      </c>
      <c r="H80" s="15">
        <f t="shared" si="5"/>
        <v>47.300000000000004</v>
      </c>
      <c r="I80" s="4" t="s">
        <v>20</v>
      </c>
    </row>
    <row r="81" spans="1:11" x14ac:dyDescent="0.25">
      <c r="A81" t="s">
        <v>23</v>
      </c>
      <c r="B81" t="s">
        <v>81</v>
      </c>
      <c r="C81" s="70" t="s">
        <v>22</v>
      </c>
      <c r="D81" s="70"/>
      <c r="E81" s="3">
        <f t="shared" si="6"/>
        <v>19</v>
      </c>
      <c r="F81" s="15">
        <v>50.3</v>
      </c>
      <c r="G81" s="15">
        <v>1.5</v>
      </c>
      <c r="H81" s="15">
        <f t="shared" ref="H81:H90" si="7">F81-G81</f>
        <v>48.8</v>
      </c>
      <c r="I81" s="4" t="s">
        <v>20</v>
      </c>
    </row>
    <row r="82" spans="1:11" x14ac:dyDescent="0.25">
      <c r="A82" t="s">
        <v>23</v>
      </c>
      <c r="B82" t="s">
        <v>81</v>
      </c>
      <c r="C82" s="70" t="s">
        <v>22</v>
      </c>
      <c r="D82" s="70"/>
      <c r="E82" s="3">
        <f t="shared" si="6"/>
        <v>20</v>
      </c>
      <c r="F82" s="15">
        <v>48.1</v>
      </c>
      <c r="G82" s="15">
        <v>1.2</v>
      </c>
      <c r="H82" s="15">
        <f t="shared" si="7"/>
        <v>46.9</v>
      </c>
      <c r="I82" s="4" t="s">
        <v>20</v>
      </c>
    </row>
    <row r="83" spans="1:11" x14ac:dyDescent="0.25">
      <c r="A83" t="s">
        <v>23</v>
      </c>
      <c r="B83" t="s">
        <v>81</v>
      </c>
      <c r="C83" s="70" t="s">
        <v>22</v>
      </c>
      <c r="D83" s="70"/>
      <c r="E83" s="3">
        <f t="shared" si="6"/>
        <v>21</v>
      </c>
      <c r="F83" s="15">
        <v>47.6</v>
      </c>
      <c r="G83" s="15">
        <v>1.3</v>
      </c>
      <c r="H83" s="15">
        <f t="shared" si="7"/>
        <v>46.300000000000004</v>
      </c>
      <c r="I83" s="4" t="s">
        <v>20</v>
      </c>
      <c r="K83" t="s">
        <v>112</v>
      </c>
    </row>
    <row r="84" spans="1:11" x14ac:dyDescent="0.25">
      <c r="A84" t="s">
        <v>23</v>
      </c>
      <c r="B84" t="s">
        <v>81</v>
      </c>
      <c r="C84" s="70" t="s">
        <v>22</v>
      </c>
      <c r="D84" s="70"/>
      <c r="E84" s="3">
        <f t="shared" si="6"/>
        <v>22</v>
      </c>
      <c r="F84" s="15">
        <v>47.4</v>
      </c>
      <c r="G84" s="15">
        <v>1.1000000000000001</v>
      </c>
      <c r="H84" s="15">
        <f t="shared" si="7"/>
        <v>46.3</v>
      </c>
      <c r="I84" s="4" t="s">
        <v>20</v>
      </c>
    </row>
    <row r="85" spans="1:11" x14ac:dyDescent="0.25">
      <c r="A85" t="s">
        <v>23</v>
      </c>
      <c r="B85" t="s">
        <v>81</v>
      </c>
      <c r="C85" s="70" t="s">
        <v>22</v>
      </c>
      <c r="D85" s="70"/>
      <c r="E85" s="3">
        <f t="shared" si="6"/>
        <v>23</v>
      </c>
      <c r="F85" s="15">
        <v>45.1</v>
      </c>
      <c r="G85" s="15">
        <v>1.1000000000000001</v>
      </c>
      <c r="H85" s="15">
        <f t="shared" si="7"/>
        <v>44</v>
      </c>
      <c r="I85" s="4" t="s">
        <v>20</v>
      </c>
    </row>
    <row r="86" spans="1:11" x14ac:dyDescent="0.25">
      <c r="A86" t="s">
        <v>23</v>
      </c>
      <c r="B86" t="s">
        <v>81</v>
      </c>
      <c r="C86" s="70" t="s">
        <v>22</v>
      </c>
      <c r="D86" s="70"/>
      <c r="E86" s="3">
        <f t="shared" si="6"/>
        <v>24</v>
      </c>
      <c r="F86" s="15">
        <v>49.6</v>
      </c>
      <c r="G86" s="15">
        <v>1</v>
      </c>
      <c r="H86" s="15">
        <f t="shared" si="7"/>
        <v>48.6</v>
      </c>
      <c r="I86" s="4" t="s">
        <v>20</v>
      </c>
    </row>
    <row r="87" spans="1:11" x14ac:dyDescent="0.25">
      <c r="A87" t="s">
        <v>23</v>
      </c>
      <c r="B87" t="s">
        <v>81</v>
      </c>
      <c r="C87" s="70" t="s">
        <v>22</v>
      </c>
      <c r="D87" s="70"/>
      <c r="E87" s="3">
        <f t="shared" si="6"/>
        <v>25</v>
      </c>
      <c r="F87" s="15">
        <v>48.3</v>
      </c>
      <c r="G87" s="15">
        <v>1</v>
      </c>
      <c r="H87" s="15">
        <f t="shared" si="7"/>
        <v>47.3</v>
      </c>
      <c r="I87" s="4" t="s">
        <v>20</v>
      </c>
    </row>
    <row r="88" spans="1:11" x14ac:dyDescent="0.25">
      <c r="A88" t="s">
        <v>23</v>
      </c>
      <c r="B88" t="s">
        <v>81</v>
      </c>
      <c r="C88" s="70" t="s">
        <v>22</v>
      </c>
      <c r="D88" s="70"/>
      <c r="E88" s="3">
        <f t="shared" si="6"/>
        <v>26</v>
      </c>
      <c r="F88" s="15">
        <v>48.5</v>
      </c>
      <c r="G88" s="15">
        <v>1.2</v>
      </c>
      <c r="H88" s="15">
        <f t="shared" si="7"/>
        <v>47.3</v>
      </c>
      <c r="I88" s="4" t="s">
        <v>20</v>
      </c>
    </row>
    <row r="89" spans="1:11" x14ac:dyDescent="0.25">
      <c r="A89" t="s">
        <v>23</v>
      </c>
      <c r="B89" t="s">
        <v>81</v>
      </c>
      <c r="C89" s="70" t="s">
        <v>22</v>
      </c>
      <c r="D89" s="70"/>
      <c r="E89" s="3">
        <f t="shared" si="6"/>
        <v>27</v>
      </c>
      <c r="F89" s="15">
        <v>48.2</v>
      </c>
      <c r="G89" s="15">
        <v>1</v>
      </c>
      <c r="H89" s="15">
        <f t="shared" si="7"/>
        <v>47.2</v>
      </c>
      <c r="I89" s="4" t="s">
        <v>20</v>
      </c>
    </row>
    <row r="90" spans="1:11" ht="15.75" thickBot="1" x14ac:dyDescent="0.3">
      <c r="A90" t="s">
        <v>23</v>
      </c>
      <c r="B90" t="s">
        <v>81</v>
      </c>
      <c r="C90" s="78" t="s">
        <v>22</v>
      </c>
      <c r="D90" s="78"/>
      <c r="E90" s="3">
        <f t="shared" si="6"/>
        <v>28</v>
      </c>
      <c r="F90" s="15">
        <v>49.4</v>
      </c>
      <c r="G90" s="15">
        <v>1.1000000000000001</v>
      </c>
      <c r="H90" s="15">
        <f t="shared" si="7"/>
        <v>48.3</v>
      </c>
      <c r="I90" s="4" t="s">
        <v>20</v>
      </c>
    </row>
    <row r="91" spans="1:11" ht="16.5" thickTop="1" thickBot="1" x14ac:dyDescent="0.3">
      <c r="A91" s="75" t="s">
        <v>27</v>
      </c>
      <c r="B91" s="75"/>
      <c r="C91" s="75"/>
      <c r="D91" s="75"/>
      <c r="E91" s="12">
        <f>E90</f>
        <v>28</v>
      </c>
      <c r="F91" s="14">
        <f>SUM(F63:F90)</f>
        <v>1361.8</v>
      </c>
      <c r="G91" s="14">
        <f>SUM(G63:G90)</f>
        <v>32.4</v>
      </c>
      <c r="H91" s="14">
        <f>SUM(H63:H90)</f>
        <v>1329.3999999999996</v>
      </c>
      <c r="I91" s="13"/>
      <c r="K91" s="27">
        <f>E8-F91</f>
        <v>1.2000000000000455</v>
      </c>
    </row>
    <row r="92" spans="1:11" ht="6" customHeight="1" thickTop="1" x14ac:dyDescent="0.25"/>
    <row r="93" spans="1:11" ht="15.75" thickBot="1" x14ac:dyDescent="0.3">
      <c r="A93" s="1" t="s">
        <v>29</v>
      </c>
    </row>
    <row r="94" spans="1:11" ht="33" customHeight="1" thickTop="1" thickBot="1" x14ac:dyDescent="0.3">
      <c r="A94" s="9" t="s">
        <v>7</v>
      </c>
      <c r="B94" s="9" t="s">
        <v>2</v>
      </c>
      <c r="C94" s="73" t="s">
        <v>6</v>
      </c>
      <c r="D94" s="73"/>
      <c r="E94" s="11" t="s">
        <v>30</v>
      </c>
      <c r="F94" s="11" t="s">
        <v>31</v>
      </c>
      <c r="G94" s="11" t="s">
        <v>32</v>
      </c>
      <c r="H94" s="11" t="s">
        <v>33</v>
      </c>
      <c r="I94" s="11" t="s">
        <v>37</v>
      </c>
    </row>
    <row r="95" spans="1:11" ht="16.5" thickTop="1" thickBot="1" x14ac:dyDescent="0.3">
      <c r="A95" t="s">
        <v>23</v>
      </c>
      <c r="B95" t="s">
        <v>81</v>
      </c>
      <c r="C95" s="80" t="s">
        <v>22</v>
      </c>
      <c r="D95" s="80"/>
      <c r="E95" s="15">
        <v>894.4</v>
      </c>
      <c r="F95" s="15">
        <v>400.4</v>
      </c>
      <c r="G95" s="15">
        <v>15.4</v>
      </c>
      <c r="H95" s="15">
        <f>IF(E95="","",(H91-E95-F95-G95))</f>
        <v>19.199999999999683</v>
      </c>
      <c r="I95" s="15">
        <f>IF(E95="","",SUM(E95:H95))</f>
        <v>1329.3999999999996</v>
      </c>
    </row>
    <row r="96" spans="1:11" ht="16.5" thickTop="1" thickBot="1" x14ac:dyDescent="0.3">
      <c r="A96" s="77" t="s">
        <v>52</v>
      </c>
      <c r="B96" s="77"/>
      <c r="C96" s="77"/>
      <c r="D96" s="77"/>
      <c r="E96" s="20">
        <f>IF(E95="","",E95/$H91)</f>
        <v>0.67278471490898162</v>
      </c>
      <c r="F96" s="38">
        <f>IF(F95="","",F95/$H91)</f>
        <v>0.30118850609297432</v>
      </c>
      <c r="G96" s="38">
        <f t="shared" ref="G96" si="8">IF(G95="","",G95/$H91)</f>
        <v>1.1584173311268245E-2</v>
      </c>
      <c r="H96" s="38">
        <f t="shared" ref="H96" si="9">IF(H95="","",H95/$H91)</f>
        <v>1.4442605686775755E-2</v>
      </c>
      <c r="I96" s="17">
        <f>IF(I95="","",SUM(E96:H96))</f>
        <v>1</v>
      </c>
    </row>
    <row r="97" spans="1:14" ht="15.75" thickTop="1" x14ac:dyDescent="0.25">
      <c r="A97" s="19" t="s">
        <v>16</v>
      </c>
    </row>
    <row r="98" spans="1:14" ht="9.9499999999999993" customHeight="1" x14ac:dyDescent="0.25">
      <c r="A98" s="7" t="s">
        <v>36</v>
      </c>
    </row>
    <row r="99" spans="1:14" ht="9.9499999999999993" customHeight="1" x14ac:dyDescent="0.25">
      <c r="A99" s="7" t="s">
        <v>35</v>
      </c>
    </row>
    <row r="100" spans="1:14" ht="9.9499999999999993" customHeight="1" x14ac:dyDescent="0.25">
      <c r="A100" s="7" t="s">
        <v>34</v>
      </c>
    </row>
    <row r="101" spans="1:14" ht="9.9499999999999993" customHeight="1" x14ac:dyDescent="0.25">
      <c r="A101" s="7" t="s">
        <v>50</v>
      </c>
    </row>
    <row r="102" spans="1:14" ht="5.25" customHeight="1" x14ac:dyDescent="0.25"/>
    <row r="103" spans="1:14" ht="15.75" thickBot="1" x14ac:dyDescent="0.3">
      <c r="A103" s="1" t="s">
        <v>128</v>
      </c>
      <c r="B103" s="1"/>
      <c r="C103" s="1"/>
    </row>
    <row r="104" spans="1:14" ht="16.5" thickTop="1" thickBot="1" x14ac:dyDescent="0.3">
      <c r="A104" s="9" t="s">
        <v>7</v>
      </c>
      <c r="B104" s="9" t="s">
        <v>2</v>
      </c>
      <c r="C104" s="73" t="s">
        <v>6</v>
      </c>
      <c r="D104" s="73"/>
      <c r="E104" s="10" t="s">
        <v>25</v>
      </c>
      <c r="F104" s="10" t="s">
        <v>3</v>
      </c>
      <c r="G104" s="10" t="s">
        <v>4</v>
      </c>
      <c r="H104" s="10" t="s">
        <v>5</v>
      </c>
      <c r="I104" s="11" t="s">
        <v>26</v>
      </c>
    </row>
    <row r="105" spans="1:14" ht="15.75" thickTop="1" x14ac:dyDescent="0.25">
      <c r="A105" t="s">
        <v>23</v>
      </c>
      <c r="B105" t="s">
        <v>62</v>
      </c>
      <c r="C105" s="74" t="s">
        <v>47</v>
      </c>
      <c r="D105" s="74"/>
      <c r="E105" s="3">
        <v>1</v>
      </c>
      <c r="F105" s="15">
        <v>91.8</v>
      </c>
      <c r="G105" s="15">
        <v>15.4</v>
      </c>
      <c r="H105" s="15">
        <f>F105-G105</f>
        <v>76.399999999999991</v>
      </c>
      <c r="I105" s="4" t="s">
        <v>20</v>
      </c>
    </row>
    <row r="106" spans="1:14" x14ac:dyDescent="0.25">
      <c r="A106" t="s">
        <v>23</v>
      </c>
      <c r="B106" t="s">
        <v>62</v>
      </c>
      <c r="C106" s="70" t="s">
        <v>47</v>
      </c>
      <c r="D106" s="70"/>
      <c r="E106" s="3">
        <f>E105+1</f>
        <v>2</v>
      </c>
      <c r="F106" s="15">
        <v>91.8</v>
      </c>
      <c r="G106" s="15">
        <v>15.7</v>
      </c>
      <c r="H106" s="15">
        <f t="shared" ref="H106:H108" si="10">F106-G106</f>
        <v>76.099999999999994</v>
      </c>
      <c r="I106" s="4" t="s">
        <v>20</v>
      </c>
    </row>
    <row r="107" spans="1:14" x14ac:dyDescent="0.25">
      <c r="A107" t="s">
        <v>23</v>
      </c>
      <c r="B107" t="s">
        <v>62</v>
      </c>
      <c r="C107" s="70" t="s">
        <v>47</v>
      </c>
      <c r="D107" s="70"/>
      <c r="E107" s="3">
        <f t="shared" ref="E107:E108" si="11">E106+1</f>
        <v>3</v>
      </c>
      <c r="F107" s="15">
        <v>91.8</v>
      </c>
      <c r="G107" s="15">
        <v>15.5</v>
      </c>
      <c r="H107" s="15">
        <f t="shared" si="10"/>
        <v>76.3</v>
      </c>
      <c r="I107" s="4" t="s">
        <v>20</v>
      </c>
    </row>
    <row r="108" spans="1:14" ht="15.75" thickBot="1" x14ac:dyDescent="0.3">
      <c r="A108" t="s">
        <v>23</v>
      </c>
      <c r="B108" t="s">
        <v>62</v>
      </c>
      <c r="C108" s="78" t="s">
        <v>47</v>
      </c>
      <c r="D108" s="78"/>
      <c r="E108" s="3">
        <f t="shared" si="11"/>
        <v>4</v>
      </c>
      <c r="F108" s="15">
        <v>91.8</v>
      </c>
      <c r="G108" s="15">
        <v>15.3</v>
      </c>
      <c r="H108" s="15">
        <f t="shared" si="10"/>
        <v>76.5</v>
      </c>
      <c r="I108" s="4" t="s">
        <v>20</v>
      </c>
    </row>
    <row r="109" spans="1:14" ht="16.5" thickTop="1" thickBot="1" x14ac:dyDescent="0.3">
      <c r="A109" s="75" t="s">
        <v>27</v>
      </c>
      <c r="B109" s="75"/>
      <c r="C109" s="75"/>
      <c r="D109" s="75"/>
      <c r="E109" s="12">
        <f>E108</f>
        <v>4</v>
      </c>
      <c r="F109" s="14">
        <f>SUM(F105:F108)</f>
        <v>367.2</v>
      </c>
      <c r="G109" s="14">
        <f>SUM(G105:G108)</f>
        <v>61.900000000000006</v>
      </c>
      <c r="H109" s="14">
        <f>SUM(H105:H108)</f>
        <v>305.3</v>
      </c>
      <c r="I109" s="13"/>
      <c r="K109" s="27">
        <f>E9-F109</f>
        <v>0</v>
      </c>
    </row>
    <row r="110" spans="1:14" ht="3.75" customHeight="1" thickTop="1" x14ac:dyDescent="0.25"/>
    <row r="111" spans="1:14" ht="15.75" thickBot="1" x14ac:dyDescent="0.3">
      <c r="A111" s="1" t="s">
        <v>29</v>
      </c>
      <c r="N111" t="s">
        <v>66</v>
      </c>
    </row>
    <row r="112" spans="1:14" ht="31.5" thickTop="1" thickBot="1" x14ac:dyDescent="0.3">
      <c r="A112" s="9" t="s">
        <v>7</v>
      </c>
      <c r="B112" s="9" t="s">
        <v>2</v>
      </c>
      <c r="C112" s="73" t="s">
        <v>6</v>
      </c>
      <c r="D112" s="73"/>
      <c r="E112" s="11" t="s">
        <v>30</v>
      </c>
      <c r="F112" s="11" t="s">
        <v>31</v>
      </c>
      <c r="G112" s="11" t="s">
        <v>32</v>
      </c>
      <c r="H112" s="11" t="s">
        <v>33</v>
      </c>
      <c r="I112" s="11" t="s">
        <v>37</v>
      </c>
    </row>
    <row r="113" spans="1:12" ht="16.5" thickTop="1" thickBot="1" x14ac:dyDescent="0.3">
      <c r="A113" t="s">
        <v>23</v>
      </c>
      <c r="B113" t="s">
        <v>62</v>
      </c>
      <c r="C113" s="76" t="s">
        <v>47</v>
      </c>
      <c r="D113" s="76"/>
      <c r="E113" s="15">
        <v>160</v>
      </c>
      <c r="F113" s="15">
        <v>134.9</v>
      </c>
      <c r="G113" s="15">
        <v>6.7</v>
      </c>
      <c r="H113" s="15">
        <f>IF(E113="","",(H109-E113-F113-G113))</f>
        <v>3.7000000000000055</v>
      </c>
      <c r="I113" s="15">
        <f>IF(E113="","",SUM(E113:H113))</f>
        <v>305.29999999999995</v>
      </c>
      <c r="L113" t="s">
        <v>109</v>
      </c>
    </row>
    <row r="114" spans="1:12" ht="16.5" thickTop="1" thickBot="1" x14ac:dyDescent="0.3">
      <c r="A114" s="77" t="s">
        <v>52</v>
      </c>
      <c r="B114" s="77"/>
      <c r="C114" s="77"/>
      <c r="D114" s="77"/>
      <c r="E114" s="20">
        <f>IF(E113="","",E113/$H109)</f>
        <v>0.52407468064199147</v>
      </c>
      <c r="F114" s="38">
        <f>IF(F113="","",F113/$H109)</f>
        <v>0.44186046511627908</v>
      </c>
      <c r="G114" s="38">
        <f t="shared" ref="G114" si="12">IF(G113="","",G113/$H109)</f>
        <v>2.1945627251883391E-2</v>
      </c>
      <c r="H114" s="38">
        <f t="shared" ref="H114" si="13">IF(H113="","",H113/$H109)</f>
        <v>1.211922698984607E-2</v>
      </c>
      <c r="I114" s="17">
        <f>IF(I113="","",SUM(E114:H114))</f>
        <v>1</v>
      </c>
    </row>
    <row r="115" spans="1:12" ht="15.75" thickTop="1" x14ac:dyDescent="0.25">
      <c r="A115" s="19" t="s">
        <v>16</v>
      </c>
    </row>
    <row r="116" spans="1:12" ht="9.9499999999999993" customHeight="1" x14ac:dyDescent="0.25">
      <c r="A116" s="7" t="s">
        <v>48</v>
      </c>
    </row>
    <row r="117" spans="1:12" ht="9.9499999999999993" customHeight="1" x14ac:dyDescent="0.25">
      <c r="A117" s="7" t="s">
        <v>35</v>
      </c>
    </row>
    <row r="118" spans="1:12" ht="9.9499999999999993" customHeight="1" x14ac:dyDescent="0.25">
      <c r="A118" s="7" t="s">
        <v>34</v>
      </c>
    </row>
    <row r="119" spans="1:12" ht="9.9499999999999993" customHeight="1" x14ac:dyDescent="0.25">
      <c r="A119" s="7" t="s">
        <v>50</v>
      </c>
    </row>
  </sheetData>
  <mergeCells count="78">
    <mergeCell ref="A114:D114"/>
    <mergeCell ref="A1:I1"/>
    <mergeCell ref="A17:I17"/>
    <mergeCell ref="A49:D49"/>
    <mergeCell ref="A54:D54"/>
    <mergeCell ref="A91:D91"/>
    <mergeCell ref="A96:D96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62:D62"/>
    <mergeCell ref="C63:D63"/>
    <mergeCell ref="C64:D64"/>
    <mergeCell ref="C52:D52"/>
    <mergeCell ref="C53:D53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104:D104"/>
    <mergeCell ref="C105:D105"/>
    <mergeCell ref="C106:D106"/>
    <mergeCell ref="C107:D107"/>
    <mergeCell ref="C108:D108"/>
    <mergeCell ref="C112:D112"/>
    <mergeCell ref="C113:D113"/>
    <mergeCell ref="C94:D94"/>
    <mergeCell ref="C95:D95"/>
    <mergeCell ref="A109:D109"/>
  </mergeCells>
  <pageMargins left="0" right="0" top="0" bottom="0" header="0" footer="0"/>
  <pageSetup paperSize="346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7E80-5952-4557-851C-F464135686CD}">
  <sheetPr>
    <tabColor rgb="FF00B050"/>
  </sheetPr>
  <dimension ref="A1:N149"/>
  <sheetViews>
    <sheetView showGridLines="0" workbookViewId="0">
      <selection activeCell="A6" sqref="A6:XFD9"/>
    </sheetView>
  </sheetViews>
  <sheetFormatPr defaultRowHeight="15" x14ac:dyDescent="0.25"/>
  <cols>
    <col min="1" max="1" width="11.85546875" customWidth="1"/>
    <col min="2" max="2" width="15" customWidth="1"/>
    <col min="3" max="3" width="9.7109375" customWidth="1"/>
    <col min="4" max="4" width="9.14062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  <col min="11" max="14" width="0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46199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65</v>
      </c>
      <c r="C7" s="4">
        <v>41</v>
      </c>
      <c r="D7" s="4" t="s">
        <v>22</v>
      </c>
      <c r="E7" s="15">
        <v>1892.1</v>
      </c>
      <c r="F7" s="15">
        <v>65.099999999999994</v>
      </c>
      <c r="G7" s="15">
        <f>E7-F7</f>
        <v>1827</v>
      </c>
      <c r="H7" s="6">
        <v>46188</v>
      </c>
      <c r="I7" s="6" t="s">
        <v>20</v>
      </c>
    </row>
    <row r="8" spans="1:12" x14ac:dyDescent="0.25">
      <c r="A8" s="5" t="s">
        <v>1</v>
      </c>
      <c r="B8" s="5" t="s">
        <v>83</v>
      </c>
      <c r="C8" s="4">
        <v>10</v>
      </c>
      <c r="D8" s="4" t="s">
        <v>22</v>
      </c>
      <c r="E8" s="15">
        <v>424.6</v>
      </c>
      <c r="F8" s="15">
        <v>11.1</v>
      </c>
      <c r="G8" s="15">
        <f t="shared" ref="G8:G11" si="0">E8-F8</f>
        <v>413.5</v>
      </c>
      <c r="H8" s="6">
        <v>46188</v>
      </c>
      <c r="I8" s="6" t="s">
        <v>20</v>
      </c>
    </row>
    <row r="9" spans="1:12" x14ac:dyDescent="0.25">
      <c r="A9" s="5" t="s">
        <v>1</v>
      </c>
      <c r="B9" s="5" t="s">
        <v>62</v>
      </c>
      <c r="C9" s="4">
        <v>40</v>
      </c>
      <c r="D9" s="4" t="s">
        <v>61</v>
      </c>
      <c r="E9" s="15">
        <v>816</v>
      </c>
      <c r="F9" s="15">
        <v>16.000000000000007</v>
      </c>
      <c r="G9" s="15">
        <f t="shared" si="0"/>
        <v>800</v>
      </c>
      <c r="H9" s="6">
        <v>46188</v>
      </c>
      <c r="I9" s="6" t="s">
        <v>20</v>
      </c>
    </row>
    <row r="10" spans="1:12" hidden="1" x14ac:dyDescent="0.25">
      <c r="A10" s="5" t="s">
        <v>1</v>
      </c>
      <c r="B10" s="5" t="s">
        <v>12</v>
      </c>
      <c r="C10" s="5"/>
      <c r="D10" s="4" t="s">
        <v>14</v>
      </c>
      <c r="E10" s="15">
        <v>784.4</v>
      </c>
      <c r="F10" s="15">
        <v>122.4</v>
      </c>
      <c r="G10" s="15">
        <f t="shared" si="0"/>
        <v>662</v>
      </c>
      <c r="H10" s="6">
        <v>46179</v>
      </c>
      <c r="I10" s="6" t="s">
        <v>20</v>
      </c>
    </row>
    <row r="11" spans="1:12" hidden="1" x14ac:dyDescent="0.25">
      <c r="A11" s="5" t="s">
        <v>1</v>
      </c>
      <c r="B11" s="5" t="s">
        <v>13</v>
      </c>
      <c r="C11" s="5"/>
      <c r="D11" s="4" t="s">
        <v>61</v>
      </c>
      <c r="E11" s="15">
        <v>695.8</v>
      </c>
      <c r="F11" s="15">
        <v>5.6</v>
      </c>
      <c r="G11" s="15">
        <f t="shared" si="0"/>
        <v>690.19999999999993</v>
      </c>
      <c r="H11" s="6">
        <v>46179</v>
      </c>
      <c r="I11" s="6" t="s">
        <v>20</v>
      </c>
    </row>
    <row r="12" spans="1:12" ht="4.5" customHeight="1" x14ac:dyDescent="0.25"/>
    <row r="13" spans="1:12" ht="9" customHeight="1" x14ac:dyDescent="0.25">
      <c r="A13" s="19" t="s">
        <v>16</v>
      </c>
    </row>
    <row r="14" spans="1:12" ht="9.9499999999999993" customHeight="1" x14ac:dyDescent="0.25">
      <c r="A14" s="7" t="s">
        <v>98</v>
      </c>
    </row>
    <row r="15" spans="1:12" ht="9.9499999999999993" customHeight="1" x14ac:dyDescent="0.25">
      <c r="A15" s="7" t="s">
        <v>17</v>
      </c>
    </row>
    <row r="16" spans="1:12" ht="5.25" customHeight="1" x14ac:dyDescent="0.25"/>
    <row r="17" spans="1:9" x14ac:dyDescent="0.25">
      <c r="A17" s="72" t="s">
        <v>28</v>
      </c>
      <c r="B17" s="72"/>
      <c r="C17" s="72"/>
      <c r="D17" s="72"/>
      <c r="E17" s="72"/>
      <c r="F17" s="72"/>
      <c r="G17" s="72"/>
      <c r="H17" s="72"/>
      <c r="I17" s="72"/>
    </row>
    <row r="18" spans="1:9" ht="23.25" customHeight="1" thickBot="1" x14ac:dyDescent="0.3">
      <c r="A18" s="1" t="s">
        <v>129</v>
      </c>
      <c r="B18" s="1"/>
      <c r="C18" s="1"/>
    </row>
    <row r="19" spans="1:9" ht="16.5" thickTop="1" thickBot="1" x14ac:dyDescent="0.3">
      <c r="A19" s="9" t="s">
        <v>7</v>
      </c>
      <c r="B19" s="9" t="s">
        <v>2</v>
      </c>
      <c r="C19" s="73" t="s">
        <v>6</v>
      </c>
      <c r="D19" s="73"/>
      <c r="E19" s="10" t="s">
        <v>25</v>
      </c>
      <c r="F19" s="10" t="s">
        <v>3</v>
      </c>
      <c r="G19" s="10" t="s">
        <v>4</v>
      </c>
      <c r="H19" s="10" t="s">
        <v>5</v>
      </c>
      <c r="I19" s="11" t="s">
        <v>26</v>
      </c>
    </row>
    <row r="20" spans="1:9" ht="15.75" thickTop="1" x14ac:dyDescent="0.25">
      <c r="A20" t="s">
        <v>23</v>
      </c>
      <c r="B20" t="s">
        <v>65</v>
      </c>
      <c r="C20" s="74" t="s">
        <v>22</v>
      </c>
      <c r="D20" s="74"/>
      <c r="E20" s="3">
        <v>1</v>
      </c>
      <c r="F20" s="15">
        <v>52</v>
      </c>
      <c r="G20" s="15">
        <v>1.5</v>
      </c>
      <c r="H20" s="15">
        <f>F20-G20</f>
        <v>50.5</v>
      </c>
      <c r="I20" s="4" t="s">
        <v>20</v>
      </c>
    </row>
    <row r="21" spans="1:9" x14ac:dyDescent="0.25">
      <c r="A21" t="s">
        <v>23</v>
      </c>
      <c r="B21" t="s">
        <v>65</v>
      </c>
      <c r="C21" s="70" t="s">
        <v>22</v>
      </c>
      <c r="D21" s="70"/>
      <c r="E21" s="3">
        <f>E20+1</f>
        <v>2</v>
      </c>
      <c r="F21" s="15">
        <v>48.2</v>
      </c>
      <c r="G21" s="15">
        <v>1.7</v>
      </c>
      <c r="H21" s="15">
        <f t="shared" ref="H21:H28" si="1">F21-G21</f>
        <v>46.5</v>
      </c>
      <c r="I21" s="4" t="s">
        <v>20</v>
      </c>
    </row>
    <row r="22" spans="1:9" x14ac:dyDescent="0.25">
      <c r="A22" t="s">
        <v>23</v>
      </c>
      <c r="B22" t="s">
        <v>65</v>
      </c>
      <c r="C22" s="70" t="s">
        <v>22</v>
      </c>
      <c r="D22" s="70"/>
      <c r="E22" s="3">
        <f t="shared" ref="E22:E60" si="2">E21+1</f>
        <v>3</v>
      </c>
      <c r="F22" s="15">
        <v>50.7</v>
      </c>
      <c r="G22" s="15">
        <v>1.8</v>
      </c>
      <c r="H22" s="15">
        <f t="shared" si="1"/>
        <v>48.900000000000006</v>
      </c>
      <c r="I22" s="4" t="s">
        <v>20</v>
      </c>
    </row>
    <row r="23" spans="1:9" x14ac:dyDescent="0.25">
      <c r="A23" t="s">
        <v>23</v>
      </c>
      <c r="B23" t="s">
        <v>65</v>
      </c>
      <c r="C23" s="70" t="s">
        <v>22</v>
      </c>
      <c r="D23" s="70"/>
      <c r="E23" s="3">
        <f t="shared" si="2"/>
        <v>4</v>
      </c>
      <c r="F23" s="15">
        <v>48.9</v>
      </c>
      <c r="G23" s="15">
        <v>1.4</v>
      </c>
      <c r="H23" s="15">
        <f t="shared" si="1"/>
        <v>47.5</v>
      </c>
      <c r="I23" s="4" t="s">
        <v>20</v>
      </c>
    </row>
    <row r="24" spans="1:9" x14ac:dyDescent="0.25">
      <c r="A24" t="s">
        <v>23</v>
      </c>
      <c r="B24" t="s">
        <v>65</v>
      </c>
      <c r="C24" s="70" t="s">
        <v>22</v>
      </c>
      <c r="D24" s="70"/>
      <c r="E24" s="3">
        <f t="shared" si="2"/>
        <v>5</v>
      </c>
      <c r="F24" s="15">
        <v>43.9</v>
      </c>
      <c r="G24" s="15">
        <v>1.5</v>
      </c>
      <c r="H24" s="15">
        <f t="shared" si="1"/>
        <v>42.4</v>
      </c>
      <c r="I24" s="4" t="s">
        <v>20</v>
      </c>
    </row>
    <row r="25" spans="1:9" x14ac:dyDescent="0.25">
      <c r="A25" t="s">
        <v>23</v>
      </c>
      <c r="B25" t="s">
        <v>65</v>
      </c>
      <c r="C25" s="70" t="s">
        <v>22</v>
      </c>
      <c r="D25" s="70"/>
      <c r="E25" s="3">
        <f t="shared" si="2"/>
        <v>6</v>
      </c>
      <c r="F25" s="15">
        <v>51.8</v>
      </c>
      <c r="G25" s="15">
        <v>1.3</v>
      </c>
      <c r="H25" s="15">
        <f t="shared" si="1"/>
        <v>50.5</v>
      </c>
      <c r="I25" s="4" t="s">
        <v>20</v>
      </c>
    </row>
    <row r="26" spans="1:9" x14ac:dyDescent="0.25">
      <c r="A26" t="s">
        <v>23</v>
      </c>
      <c r="B26" t="s">
        <v>65</v>
      </c>
      <c r="C26" s="70" t="s">
        <v>22</v>
      </c>
      <c r="D26" s="70"/>
      <c r="E26" s="3">
        <f t="shared" si="2"/>
        <v>7</v>
      </c>
      <c r="F26" s="15">
        <v>43.4</v>
      </c>
      <c r="G26" s="15">
        <v>1.7</v>
      </c>
      <c r="H26" s="15">
        <f t="shared" si="1"/>
        <v>41.699999999999996</v>
      </c>
      <c r="I26" s="4" t="s">
        <v>20</v>
      </c>
    </row>
    <row r="27" spans="1:9" x14ac:dyDescent="0.25">
      <c r="A27" t="s">
        <v>23</v>
      </c>
      <c r="B27" t="s">
        <v>65</v>
      </c>
      <c r="C27" s="70" t="s">
        <v>22</v>
      </c>
      <c r="D27" s="70"/>
      <c r="E27" s="3">
        <f t="shared" si="2"/>
        <v>8</v>
      </c>
      <c r="F27" s="15">
        <v>41.7</v>
      </c>
      <c r="G27" s="15">
        <v>1.8</v>
      </c>
      <c r="H27" s="15">
        <f t="shared" si="1"/>
        <v>39.900000000000006</v>
      </c>
      <c r="I27" s="4" t="s">
        <v>20</v>
      </c>
    </row>
    <row r="28" spans="1:9" x14ac:dyDescent="0.25">
      <c r="A28" t="s">
        <v>23</v>
      </c>
      <c r="B28" t="s">
        <v>65</v>
      </c>
      <c r="C28" s="70" t="s">
        <v>22</v>
      </c>
      <c r="D28" s="70"/>
      <c r="E28" s="3">
        <f t="shared" si="2"/>
        <v>9</v>
      </c>
      <c r="F28" s="15">
        <v>42.6</v>
      </c>
      <c r="G28" s="15">
        <v>1.5</v>
      </c>
      <c r="H28" s="15">
        <f t="shared" si="1"/>
        <v>41.1</v>
      </c>
      <c r="I28" s="4" t="s">
        <v>20</v>
      </c>
    </row>
    <row r="29" spans="1:9" x14ac:dyDescent="0.25">
      <c r="A29" t="s">
        <v>23</v>
      </c>
      <c r="B29" t="s">
        <v>65</v>
      </c>
      <c r="C29" s="70" t="s">
        <v>22</v>
      </c>
      <c r="D29" s="70"/>
      <c r="E29" s="3">
        <f t="shared" si="2"/>
        <v>10</v>
      </c>
      <c r="F29" s="15">
        <v>40.700000000000003</v>
      </c>
      <c r="G29" s="15">
        <v>1.7</v>
      </c>
      <c r="H29" s="15">
        <f t="shared" ref="H29:H60" si="3">F29-G29</f>
        <v>39</v>
      </c>
      <c r="I29" s="4" t="s">
        <v>20</v>
      </c>
    </row>
    <row r="30" spans="1:9" x14ac:dyDescent="0.25">
      <c r="A30" t="s">
        <v>23</v>
      </c>
      <c r="B30" t="s">
        <v>65</v>
      </c>
      <c r="C30" s="70" t="s">
        <v>22</v>
      </c>
      <c r="D30" s="70"/>
      <c r="E30" s="3">
        <f t="shared" si="2"/>
        <v>11</v>
      </c>
      <c r="F30" s="15">
        <v>42.9</v>
      </c>
      <c r="G30" s="15">
        <v>1.9</v>
      </c>
      <c r="H30" s="15">
        <f t="shared" si="3"/>
        <v>41</v>
      </c>
      <c r="I30" s="4" t="s">
        <v>20</v>
      </c>
    </row>
    <row r="31" spans="1:9" x14ac:dyDescent="0.25">
      <c r="A31" t="s">
        <v>23</v>
      </c>
      <c r="B31" t="s">
        <v>65</v>
      </c>
      <c r="C31" s="70" t="s">
        <v>22</v>
      </c>
      <c r="D31" s="70"/>
      <c r="E31" s="3">
        <f t="shared" si="2"/>
        <v>12</v>
      </c>
      <c r="F31" s="15">
        <v>44.9</v>
      </c>
      <c r="G31" s="15">
        <v>1.5</v>
      </c>
      <c r="H31" s="15">
        <f t="shared" si="3"/>
        <v>43.4</v>
      </c>
      <c r="I31" s="4" t="s">
        <v>20</v>
      </c>
    </row>
    <row r="32" spans="1:9" x14ac:dyDescent="0.25">
      <c r="A32" t="s">
        <v>23</v>
      </c>
      <c r="B32" t="s">
        <v>65</v>
      </c>
      <c r="C32" s="70" t="s">
        <v>22</v>
      </c>
      <c r="D32" s="70"/>
      <c r="E32" s="3">
        <f t="shared" si="2"/>
        <v>13</v>
      </c>
      <c r="F32" s="15">
        <v>47.8</v>
      </c>
      <c r="G32" s="15">
        <v>1.4</v>
      </c>
      <c r="H32" s="15">
        <f t="shared" si="3"/>
        <v>46.4</v>
      </c>
      <c r="I32" s="4" t="s">
        <v>20</v>
      </c>
    </row>
    <row r="33" spans="1:9" x14ac:dyDescent="0.25">
      <c r="A33" t="s">
        <v>23</v>
      </c>
      <c r="B33" t="s">
        <v>65</v>
      </c>
      <c r="C33" s="70" t="s">
        <v>22</v>
      </c>
      <c r="D33" s="70"/>
      <c r="E33" s="3">
        <f t="shared" si="2"/>
        <v>14</v>
      </c>
      <c r="F33" s="15">
        <v>45.2</v>
      </c>
      <c r="G33" s="15">
        <v>1.8</v>
      </c>
      <c r="H33" s="15">
        <f t="shared" si="3"/>
        <v>43.400000000000006</v>
      </c>
      <c r="I33" s="4" t="s">
        <v>20</v>
      </c>
    </row>
    <row r="34" spans="1:9" x14ac:dyDescent="0.25">
      <c r="A34" t="s">
        <v>23</v>
      </c>
      <c r="B34" t="s">
        <v>65</v>
      </c>
      <c r="C34" s="70" t="s">
        <v>22</v>
      </c>
      <c r="D34" s="70"/>
      <c r="E34" s="3">
        <f t="shared" si="2"/>
        <v>15</v>
      </c>
      <c r="F34" s="15">
        <v>45.3</v>
      </c>
      <c r="G34" s="15">
        <v>1.5</v>
      </c>
      <c r="H34" s="15">
        <f t="shared" si="3"/>
        <v>43.8</v>
      </c>
      <c r="I34" s="4" t="s">
        <v>20</v>
      </c>
    </row>
    <row r="35" spans="1:9" x14ac:dyDescent="0.25">
      <c r="A35" t="s">
        <v>23</v>
      </c>
      <c r="B35" t="s">
        <v>65</v>
      </c>
      <c r="C35" s="70" t="s">
        <v>22</v>
      </c>
      <c r="D35" s="70"/>
      <c r="E35" s="3">
        <f t="shared" si="2"/>
        <v>16</v>
      </c>
      <c r="F35" s="15">
        <v>43.6</v>
      </c>
      <c r="G35" s="15">
        <v>1.7</v>
      </c>
      <c r="H35" s="15">
        <f t="shared" si="3"/>
        <v>41.9</v>
      </c>
      <c r="I35" s="4" t="s">
        <v>20</v>
      </c>
    </row>
    <row r="36" spans="1:9" x14ac:dyDescent="0.25">
      <c r="A36" t="s">
        <v>23</v>
      </c>
      <c r="B36" t="s">
        <v>65</v>
      </c>
      <c r="C36" s="70" t="s">
        <v>22</v>
      </c>
      <c r="D36" s="70"/>
      <c r="E36" s="3">
        <f t="shared" si="2"/>
        <v>17</v>
      </c>
      <c r="F36" s="15">
        <v>45.7</v>
      </c>
      <c r="G36" s="15">
        <v>1.7</v>
      </c>
      <c r="H36" s="15">
        <f t="shared" si="3"/>
        <v>44</v>
      </c>
      <c r="I36" s="4" t="s">
        <v>20</v>
      </c>
    </row>
    <row r="37" spans="1:9" x14ac:dyDescent="0.25">
      <c r="A37" t="s">
        <v>23</v>
      </c>
      <c r="B37" t="s">
        <v>65</v>
      </c>
      <c r="C37" s="70" t="s">
        <v>22</v>
      </c>
      <c r="D37" s="70"/>
      <c r="E37" s="3">
        <f t="shared" si="2"/>
        <v>18</v>
      </c>
      <c r="F37" s="15">
        <v>43.6</v>
      </c>
      <c r="G37" s="15">
        <v>1.4</v>
      </c>
      <c r="H37" s="15">
        <f t="shared" si="3"/>
        <v>42.2</v>
      </c>
      <c r="I37" s="4" t="s">
        <v>20</v>
      </c>
    </row>
    <row r="38" spans="1:9" x14ac:dyDescent="0.25">
      <c r="A38" t="s">
        <v>23</v>
      </c>
      <c r="B38" t="s">
        <v>65</v>
      </c>
      <c r="C38" s="70" t="s">
        <v>22</v>
      </c>
      <c r="D38" s="70"/>
      <c r="E38" s="3">
        <f t="shared" si="2"/>
        <v>19</v>
      </c>
      <c r="F38" s="15">
        <v>45.3</v>
      </c>
      <c r="G38" s="15">
        <v>1.7</v>
      </c>
      <c r="H38" s="15">
        <f t="shared" si="3"/>
        <v>43.599999999999994</v>
      </c>
      <c r="I38" s="4" t="s">
        <v>20</v>
      </c>
    </row>
    <row r="39" spans="1:9" x14ac:dyDescent="0.25">
      <c r="A39" t="s">
        <v>23</v>
      </c>
      <c r="B39" t="s">
        <v>65</v>
      </c>
      <c r="C39" s="70" t="s">
        <v>22</v>
      </c>
      <c r="D39" s="70"/>
      <c r="E39" s="3">
        <f t="shared" si="2"/>
        <v>20</v>
      </c>
      <c r="F39" s="15">
        <v>46.9</v>
      </c>
      <c r="G39" s="15">
        <v>1.6</v>
      </c>
      <c r="H39" s="15">
        <f t="shared" si="3"/>
        <v>45.3</v>
      </c>
      <c r="I39" s="4" t="s">
        <v>20</v>
      </c>
    </row>
    <row r="40" spans="1:9" x14ac:dyDescent="0.25">
      <c r="A40" t="s">
        <v>23</v>
      </c>
      <c r="B40" t="s">
        <v>65</v>
      </c>
      <c r="C40" s="70" t="s">
        <v>22</v>
      </c>
      <c r="D40" s="70"/>
      <c r="E40" s="3">
        <f t="shared" si="2"/>
        <v>21</v>
      </c>
      <c r="F40" s="15">
        <v>52.2</v>
      </c>
      <c r="G40" s="15">
        <v>2.1</v>
      </c>
      <c r="H40" s="15">
        <f t="shared" si="3"/>
        <v>50.1</v>
      </c>
      <c r="I40" s="4" t="s">
        <v>20</v>
      </c>
    </row>
    <row r="41" spans="1:9" x14ac:dyDescent="0.25">
      <c r="A41" t="s">
        <v>23</v>
      </c>
      <c r="B41" t="s">
        <v>65</v>
      </c>
      <c r="C41" s="70" t="s">
        <v>22</v>
      </c>
      <c r="D41" s="70"/>
      <c r="E41" s="3">
        <f t="shared" si="2"/>
        <v>22</v>
      </c>
      <c r="F41" s="15">
        <v>48.7</v>
      </c>
      <c r="G41" s="15">
        <v>1.4</v>
      </c>
      <c r="H41" s="15">
        <f t="shared" si="3"/>
        <v>47.300000000000004</v>
      </c>
      <c r="I41" s="4" t="s">
        <v>20</v>
      </c>
    </row>
    <row r="42" spans="1:9" x14ac:dyDescent="0.25">
      <c r="A42" t="s">
        <v>23</v>
      </c>
      <c r="B42" t="s">
        <v>65</v>
      </c>
      <c r="C42" s="70" t="s">
        <v>22</v>
      </c>
      <c r="D42" s="70"/>
      <c r="E42" s="3">
        <f t="shared" si="2"/>
        <v>23</v>
      </c>
      <c r="F42" s="15">
        <v>48.5</v>
      </c>
      <c r="G42" s="15">
        <v>1.8</v>
      </c>
      <c r="H42" s="15">
        <f t="shared" si="3"/>
        <v>46.7</v>
      </c>
      <c r="I42" s="4" t="s">
        <v>20</v>
      </c>
    </row>
    <row r="43" spans="1:9" x14ac:dyDescent="0.25">
      <c r="A43" t="s">
        <v>23</v>
      </c>
      <c r="B43" t="s">
        <v>65</v>
      </c>
      <c r="C43" s="70" t="s">
        <v>22</v>
      </c>
      <c r="D43" s="70"/>
      <c r="E43" s="3">
        <f t="shared" si="2"/>
        <v>24</v>
      </c>
      <c r="F43" s="15">
        <v>46.1</v>
      </c>
      <c r="G43" s="15">
        <v>1.5</v>
      </c>
      <c r="H43" s="15">
        <f t="shared" si="3"/>
        <v>44.6</v>
      </c>
      <c r="I43" s="4" t="s">
        <v>20</v>
      </c>
    </row>
    <row r="44" spans="1:9" x14ac:dyDescent="0.25">
      <c r="A44" t="s">
        <v>23</v>
      </c>
      <c r="B44" t="s">
        <v>65</v>
      </c>
      <c r="C44" s="70" t="s">
        <v>22</v>
      </c>
      <c r="D44" s="70"/>
      <c r="E44" s="3">
        <f t="shared" si="2"/>
        <v>25</v>
      </c>
      <c r="F44" s="15">
        <v>41.9</v>
      </c>
      <c r="G44" s="15">
        <v>1.9</v>
      </c>
      <c r="H44" s="15">
        <f t="shared" si="3"/>
        <v>40</v>
      </c>
      <c r="I44" s="4" t="s">
        <v>20</v>
      </c>
    </row>
    <row r="45" spans="1:9" x14ac:dyDescent="0.25">
      <c r="A45" t="s">
        <v>23</v>
      </c>
      <c r="B45" t="s">
        <v>65</v>
      </c>
      <c r="C45" s="70" t="s">
        <v>22</v>
      </c>
      <c r="D45" s="70"/>
      <c r="E45" s="3">
        <f t="shared" si="2"/>
        <v>26</v>
      </c>
      <c r="F45" s="15">
        <v>44.9</v>
      </c>
      <c r="G45" s="15">
        <v>1.4</v>
      </c>
      <c r="H45" s="15">
        <f t="shared" si="3"/>
        <v>43.5</v>
      </c>
      <c r="I45" s="4" t="s">
        <v>20</v>
      </c>
    </row>
    <row r="46" spans="1:9" x14ac:dyDescent="0.25">
      <c r="A46" t="s">
        <v>23</v>
      </c>
      <c r="B46" t="s">
        <v>65</v>
      </c>
      <c r="C46" s="70" t="s">
        <v>22</v>
      </c>
      <c r="D46" s="70"/>
      <c r="E46" s="3">
        <f t="shared" si="2"/>
        <v>27</v>
      </c>
      <c r="F46" s="15">
        <v>42.5</v>
      </c>
      <c r="G46" s="15">
        <v>1.5</v>
      </c>
      <c r="H46" s="15">
        <f t="shared" si="3"/>
        <v>41</v>
      </c>
      <c r="I46" s="4" t="s">
        <v>20</v>
      </c>
    </row>
    <row r="47" spans="1:9" x14ac:dyDescent="0.25">
      <c r="A47" t="s">
        <v>23</v>
      </c>
      <c r="B47" t="s">
        <v>65</v>
      </c>
      <c r="C47" s="70" t="s">
        <v>22</v>
      </c>
      <c r="D47" s="70"/>
      <c r="E47" s="3">
        <f t="shared" si="2"/>
        <v>28</v>
      </c>
      <c r="F47" s="15">
        <v>48.7</v>
      </c>
      <c r="G47" s="15">
        <v>1.7</v>
      </c>
      <c r="H47" s="15">
        <f t="shared" si="3"/>
        <v>47</v>
      </c>
      <c r="I47" s="4" t="s">
        <v>20</v>
      </c>
    </row>
    <row r="48" spans="1:9" x14ac:dyDescent="0.25">
      <c r="A48" t="s">
        <v>23</v>
      </c>
      <c r="B48" t="s">
        <v>65</v>
      </c>
      <c r="C48" s="70" t="s">
        <v>22</v>
      </c>
      <c r="D48" s="70"/>
      <c r="E48" s="3">
        <f t="shared" si="2"/>
        <v>29</v>
      </c>
      <c r="F48" s="15">
        <v>48</v>
      </c>
      <c r="G48" s="15">
        <v>1.5</v>
      </c>
      <c r="H48" s="15">
        <f t="shared" si="3"/>
        <v>46.5</v>
      </c>
      <c r="I48" s="4" t="s">
        <v>20</v>
      </c>
    </row>
    <row r="49" spans="1:11" x14ac:dyDescent="0.25">
      <c r="A49" t="s">
        <v>23</v>
      </c>
      <c r="B49" t="s">
        <v>65</v>
      </c>
      <c r="C49" s="70" t="s">
        <v>22</v>
      </c>
      <c r="D49" s="70"/>
      <c r="E49" s="3">
        <f t="shared" si="2"/>
        <v>30</v>
      </c>
      <c r="F49" s="15">
        <v>47.6</v>
      </c>
      <c r="G49" s="15">
        <v>1.4</v>
      </c>
      <c r="H49" s="15">
        <f t="shared" si="3"/>
        <v>46.2</v>
      </c>
      <c r="I49" s="4" t="s">
        <v>20</v>
      </c>
    </row>
    <row r="50" spans="1:11" x14ac:dyDescent="0.25">
      <c r="A50" t="s">
        <v>23</v>
      </c>
      <c r="B50" t="s">
        <v>65</v>
      </c>
      <c r="C50" s="70" t="s">
        <v>22</v>
      </c>
      <c r="D50" s="70"/>
      <c r="E50" s="3">
        <f t="shared" si="2"/>
        <v>31</v>
      </c>
      <c r="F50" s="15">
        <v>43.9</v>
      </c>
      <c r="G50" s="15">
        <v>1.4</v>
      </c>
      <c r="H50" s="15">
        <f t="shared" si="3"/>
        <v>42.5</v>
      </c>
      <c r="I50" s="4" t="s">
        <v>20</v>
      </c>
    </row>
    <row r="51" spans="1:11" x14ac:dyDescent="0.25">
      <c r="A51" t="s">
        <v>23</v>
      </c>
      <c r="B51" t="s">
        <v>65</v>
      </c>
      <c r="C51" s="70" t="s">
        <v>22</v>
      </c>
      <c r="D51" s="70"/>
      <c r="E51" s="3">
        <f t="shared" si="2"/>
        <v>32</v>
      </c>
      <c r="F51" s="15">
        <v>45.3</v>
      </c>
      <c r="G51" s="15">
        <v>1.7</v>
      </c>
      <c r="H51" s="15">
        <f t="shared" si="3"/>
        <v>43.599999999999994</v>
      </c>
      <c r="I51" s="4" t="s">
        <v>20</v>
      </c>
    </row>
    <row r="52" spans="1:11" x14ac:dyDescent="0.25">
      <c r="A52" t="s">
        <v>23</v>
      </c>
      <c r="B52" t="s">
        <v>65</v>
      </c>
      <c r="C52" s="70" t="s">
        <v>22</v>
      </c>
      <c r="D52" s="70"/>
      <c r="E52" s="3">
        <f t="shared" si="2"/>
        <v>33</v>
      </c>
      <c r="F52" s="15">
        <v>45.9</v>
      </c>
      <c r="G52" s="15">
        <v>1.5</v>
      </c>
      <c r="H52" s="15">
        <f t="shared" si="3"/>
        <v>44.4</v>
      </c>
      <c r="I52" s="4" t="s">
        <v>20</v>
      </c>
    </row>
    <row r="53" spans="1:11" x14ac:dyDescent="0.25">
      <c r="A53" t="s">
        <v>23</v>
      </c>
      <c r="B53" t="s">
        <v>65</v>
      </c>
      <c r="C53" s="70" t="s">
        <v>22</v>
      </c>
      <c r="D53" s="70"/>
      <c r="E53" s="3">
        <f t="shared" si="2"/>
        <v>34</v>
      </c>
      <c r="F53" s="15">
        <v>42.3</v>
      </c>
      <c r="G53" s="15">
        <v>1.7</v>
      </c>
      <c r="H53" s="15">
        <f t="shared" si="3"/>
        <v>40.599999999999994</v>
      </c>
      <c r="I53" s="4" t="s">
        <v>20</v>
      </c>
    </row>
    <row r="54" spans="1:11" x14ac:dyDescent="0.25">
      <c r="A54" t="s">
        <v>23</v>
      </c>
      <c r="B54" t="s">
        <v>65</v>
      </c>
      <c r="C54" s="70" t="s">
        <v>22</v>
      </c>
      <c r="D54" s="70"/>
      <c r="E54" s="3">
        <f t="shared" si="2"/>
        <v>35</v>
      </c>
      <c r="F54" s="15">
        <v>50.6</v>
      </c>
      <c r="G54" s="15">
        <v>1.3</v>
      </c>
      <c r="H54" s="15">
        <f t="shared" si="3"/>
        <v>49.300000000000004</v>
      </c>
      <c r="I54" s="4" t="s">
        <v>20</v>
      </c>
    </row>
    <row r="55" spans="1:11" x14ac:dyDescent="0.25">
      <c r="A55" t="s">
        <v>23</v>
      </c>
      <c r="B55" t="s">
        <v>65</v>
      </c>
      <c r="C55" s="70" t="s">
        <v>22</v>
      </c>
      <c r="D55" s="70"/>
      <c r="E55" s="3">
        <f t="shared" si="2"/>
        <v>36</v>
      </c>
      <c r="F55" s="15">
        <v>47.9</v>
      </c>
      <c r="G55" s="15">
        <v>1.1000000000000001</v>
      </c>
      <c r="H55" s="15">
        <f t="shared" si="3"/>
        <v>46.8</v>
      </c>
      <c r="I55" s="4" t="s">
        <v>20</v>
      </c>
    </row>
    <row r="56" spans="1:11" x14ac:dyDescent="0.25">
      <c r="A56" t="s">
        <v>23</v>
      </c>
      <c r="B56" t="s">
        <v>65</v>
      </c>
      <c r="C56" s="70" t="s">
        <v>22</v>
      </c>
      <c r="D56" s="70"/>
      <c r="E56" s="3">
        <f t="shared" si="2"/>
        <v>37</v>
      </c>
      <c r="F56" s="15">
        <v>44.4</v>
      </c>
      <c r="G56" s="15">
        <v>1.4</v>
      </c>
      <c r="H56" s="15">
        <f t="shared" si="3"/>
        <v>43</v>
      </c>
      <c r="I56" s="4" t="s">
        <v>20</v>
      </c>
    </row>
    <row r="57" spans="1:11" x14ac:dyDescent="0.25">
      <c r="A57" t="s">
        <v>23</v>
      </c>
      <c r="B57" t="s">
        <v>65</v>
      </c>
      <c r="C57" s="70" t="s">
        <v>22</v>
      </c>
      <c r="D57" s="70"/>
      <c r="E57" s="3">
        <f t="shared" si="2"/>
        <v>38</v>
      </c>
      <c r="F57" s="15">
        <v>43</v>
      </c>
      <c r="G57" s="15">
        <v>2</v>
      </c>
      <c r="H57" s="15">
        <f t="shared" si="3"/>
        <v>41</v>
      </c>
      <c r="I57" s="4" t="s">
        <v>20</v>
      </c>
    </row>
    <row r="58" spans="1:11" x14ac:dyDescent="0.25">
      <c r="A58" t="s">
        <v>23</v>
      </c>
      <c r="B58" t="s">
        <v>65</v>
      </c>
      <c r="C58" s="70" t="s">
        <v>22</v>
      </c>
      <c r="D58" s="70"/>
      <c r="E58" s="3">
        <f t="shared" si="2"/>
        <v>39</v>
      </c>
      <c r="F58" s="15">
        <v>48.4</v>
      </c>
      <c r="G58" s="15">
        <v>1.7</v>
      </c>
      <c r="H58" s="15">
        <f t="shared" si="3"/>
        <v>46.699999999999996</v>
      </c>
      <c r="I58" s="4" t="s">
        <v>20</v>
      </c>
    </row>
    <row r="59" spans="1:11" x14ac:dyDescent="0.25">
      <c r="A59" t="s">
        <v>23</v>
      </c>
      <c r="B59" t="s">
        <v>65</v>
      </c>
      <c r="C59" s="70" t="s">
        <v>22</v>
      </c>
      <c r="D59" s="70"/>
      <c r="E59" s="3">
        <f t="shared" si="2"/>
        <v>40</v>
      </c>
      <c r="F59" s="15">
        <v>48.7</v>
      </c>
      <c r="G59" s="15">
        <v>1.9</v>
      </c>
      <c r="H59" s="15">
        <f t="shared" si="3"/>
        <v>46.800000000000004</v>
      </c>
      <c r="I59" s="4" t="s">
        <v>20</v>
      </c>
    </row>
    <row r="60" spans="1:11" ht="15.75" thickBot="1" x14ac:dyDescent="0.3">
      <c r="A60" t="s">
        <v>23</v>
      </c>
      <c r="B60" t="s">
        <v>65</v>
      </c>
      <c r="C60" s="70" t="s">
        <v>22</v>
      </c>
      <c r="D60" s="70"/>
      <c r="E60" s="3">
        <f t="shared" si="2"/>
        <v>41</v>
      </c>
      <c r="F60" s="15">
        <v>46.9</v>
      </c>
      <c r="G60" s="15">
        <v>1.1000000000000001</v>
      </c>
      <c r="H60" s="15">
        <f t="shared" si="3"/>
        <v>45.8</v>
      </c>
      <c r="I60" s="4" t="s">
        <v>20</v>
      </c>
    </row>
    <row r="61" spans="1:11" ht="16.5" thickTop="1" thickBot="1" x14ac:dyDescent="0.3">
      <c r="A61" s="75" t="s">
        <v>27</v>
      </c>
      <c r="B61" s="75"/>
      <c r="C61" s="75"/>
      <c r="D61" s="75"/>
      <c r="E61" s="12">
        <f>E60</f>
        <v>41</v>
      </c>
      <c r="F61" s="14">
        <f>SUM(F20:F60)</f>
        <v>1891.5000000000005</v>
      </c>
      <c r="G61" s="14">
        <f>SUM(G20:G60)</f>
        <v>65.099999999999994</v>
      </c>
      <c r="H61" s="14">
        <f>SUM(H20:H60)</f>
        <v>1826.3999999999996</v>
      </c>
      <c r="I61" s="13"/>
      <c r="K61" s="27">
        <f>E7-F61</f>
        <v>0.5999999999994543</v>
      </c>
    </row>
    <row r="62" spans="1:11" ht="6.75" customHeight="1" thickTop="1" x14ac:dyDescent="0.25"/>
    <row r="63" spans="1:11" ht="15.75" thickBot="1" x14ac:dyDescent="0.3">
      <c r="A63" s="1" t="s">
        <v>29</v>
      </c>
    </row>
    <row r="64" spans="1:11" ht="30" customHeight="1" thickTop="1" thickBot="1" x14ac:dyDescent="0.3">
      <c r="A64" s="9" t="s">
        <v>7</v>
      </c>
      <c r="B64" s="9" t="s">
        <v>2</v>
      </c>
      <c r="C64" s="73" t="s">
        <v>6</v>
      </c>
      <c r="D64" s="73"/>
      <c r="E64" s="11" t="s">
        <v>30</v>
      </c>
      <c r="F64" s="11" t="s">
        <v>31</v>
      </c>
      <c r="G64" s="11" t="s">
        <v>32</v>
      </c>
      <c r="H64" s="11" t="s">
        <v>33</v>
      </c>
      <c r="I64" s="11" t="s">
        <v>37</v>
      </c>
    </row>
    <row r="65" spans="1:9" ht="16.5" thickTop="1" thickBot="1" x14ac:dyDescent="0.3">
      <c r="A65" t="s">
        <v>23</v>
      </c>
      <c r="B65" t="s">
        <v>65</v>
      </c>
      <c r="C65" s="76" t="s">
        <v>22</v>
      </c>
      <c r="D65" s="76"/>
      <c r="E65" s="15">
        <v>1195.4000000000001</v>
      </c>
      <c r="F65" s="15">
        <v>600.6</v>
      </c>
      <c r="G65" s="15">
        <v>26.7</v>
      </c>
      <c r="H65" s="15">
        <f>IF(E65="","",(H61-E65-F65-G65))</f>
        <v>3.6999999999995232</v>
      </c>
      <c r="I65" s="15">
        <f>IF(E65="","",SUM(E65:H65))</f>
        <v>1826.3999999999996</v>
      </c>
    </row>
    <row r="66" spans="1:9" ht="16.5" thickTop="1" thickBot="1" x14ac:dyDescent="0.3">
      <c r="A66" s="77" t="s">
        <v>52</v>
      </c>
      <c r="B66" s="77"/>
      <c r="C66" s="77"/>
      <c r="D66" s="77"/>
      <c r="E66" s="20">
        <f>IF(E65="","",E65/$H61)</f>
        <v>0.65451160753394677</v>
      </c>
      <c r="F66" s="38">
        <f>IF(F65="","",F65/$H61)</f>
        <v>0.32884362680683321</v>
      </c>
      <c r="G66" s="38">
        <f t="shared" ref="G66:H66" si="4">IF(G65="","",G65/$H61)</f>
        <v>1.4618922470433643E-2</v>
      </c>
      <c r="H66" s="38">
        <f t="shared" si="4"/>
        <v>2.0258431887864234E-3</v>
      </c>
      <c r="I66" s="17">
        <f>IF(I65="","",SUM(E66:H66))</f>
        <v>1</v>
      </c>
    </row>
    <row r="67" spans="1:9" ht="15.75" thickTop="1" x14ac:dyDescent="0.25">
      <c r="A67" s="19" t="s">
        <v>16</v>
      </c>
    </row>
    <row r="68" spans="1:9" ht="9.9499999999999993" customHeight="1" x14ac:dyDescent="0.25">
      <c r="A68" s="7" t="s">
        <v>36</v>
      </c>
    </row>
    <row r="69" spans="1:9" ht="9.9499999999999993" customHeight="1" x14ac:dyDescent="0.25">
      <c r="A69" s="7" t="s">
        <v>35</v>
      </c>
    </row>
    <row r="70" spans="1:9" ht="9.9499999999999993" customHeight="1" x14ac:dyDescent="0.25">
      <c r="A70" s="7" t="s">
        <v>34</v>
      </c>
    </row>
    <row r="71" spans="1:9" ht="9.9499999999999993" customHeight="1" x14ac:dyDescent="0.25">
      <c r="A71" s="7" t="s">
        <v>50</v>
      </c>
    </row>
    <row r="72" spans="1:9" ht="6" customHeight="1" x14ac:dyDescent="0.25"/>
    <row r="73" spans="1:9" ht="15.75" thickBot="1" x14ac:dyDescent="0.3">
      <c r="A73" s="1" t="s">
        <v>130</v>
      </c>
      <c r="B73" s="1"/>
      <c r="C73" s="1"/>
    </row>
    <row r="74" spans="1:9" ht="16.5" thickTop="1" thickBot="1" x14ac:dyDescent="0.3">
      <c r="A74" s="9" t="s">
        <v>7</v>
      </c>
      <c r="B74" s="9" t="s">
        <v>2</v>
      </c>
      <c r="C74" s="73" t="s">
        <v>6</v>
      </c>
      <c r="D74" s="73"/>
      <c r="E74" s="10" t="s">
        <v>25</v>
      </c>
      <c r="F74" s="10" t="s">
        <v>3</v>
      </c>
      <c r="G74" s="10" t="s">
        <v>4</v>
      </c>
      <c r="H74" s="10" t="s">
        <v>5</v>
      </c>
      <c r="I74" s="11" t="s">
        <v>26</v>
      </c>
    </row>
    <row r="75" spans="1:9" ht="15.75" thickTop="1" x14ac:dyDescent="0.25">
      <c r="A75" t="s">
        <v>23</v>
      </c>
      <c r="B75" t="s">
        <v>83</v>
      </c>
      <c r="C75" s="74" t="s">
        <v>22</v>
      </c>
      <c r="D75" s="74"/>
      <c r="E75" s="3">
        <v>1</v>
      </c>
      <c r="F75" s="15">
        <v>37.700000000000003</v>
      </c>
      <c r="G75" s="15">
        <v>1</v>
      </c>
      <c r="H75" s="15">
        <f>F75-G75</f>
        <v>36.700000000000003</v>
      </c>
      <c r="I75" s="4" t="s">
        <v>20</v>
      </c>
    </row>
    <row r="76" spans="1:9" x14ac:dyDescent="0.25">
      <c r="A76" t="s">
        <v>23</v>
      </c>
      <c r="B76" t="s">
        <v>83</v>
      </c>
      <c r="C76" s="70" t="s">
        <v>22</v>
      </c>
      <c r="D76" s="70"/>
      <c r="E76" s="3">
        <f>E75+1</f>
        <v>2</v>
      </c>
      <c r="F76" s="15">
        <v>47</v>
      </c>
      <c r="G76" s="15">
        <v>1</v>
      </c>
      <c r="H76" s="15">
        <f t="shared" ref="H76:H84" si="5">F76-G76</f>
        <v>46</v>
      </c>
      <c r="I76" s="4" t="s">
        <v>20</v>
      </c>
    </row>
    <row r="77" spans="1:9" x14ac:dyDescent="0.25">
      <c r="A77" t="s">
        <v>23</v>
      </c>
      <c r="B77" t="s">
        <v>83</v>
      </c>
      <c r="C77" s="70" t="s">
        <v>22</v>
      </c>
      <c r="D77" s="70"/>
      <c r="E77" s="3">
        <f t="shared" ref="E77:E84" si="6">E76+1</f>
        <v>3</v>
      </c>
      <c r="F77" s="15">
        <v>43.6</v>
      </c>
      <c r="G77" s="15">
        <v>1.1000000000000001</v>
      </c>
      <c r="H77" s="15">
        <f t="shared" si="5"/>
        <v>42.5</v>
      </c>
      <c r="I77" s="4" t="s">
        <v>20</v>
      </c>
    </row>
    <row r="78" spans="1:9" x14ac:dyDescent="0.25">
      <c r="A78" t="s">
        <v>23</v>
      </c>
      <c r="B78" t="s">
        <v>83</v>
      </c>
      <c r="C78" s="70" t="s">
        <v>22</v>
      </c>
      <c r="D78" s="70"/>
      <c r="E78" s="3">
        <f t="shared" si="6"/>
        <v>4</v>
      </c>
      <c r="F78" s="15">
        <v>43.9</v>
      </c>
      <c r="G78" s="15">
        <v>1.3</v>
      </c>
      <c r="H78" s="15">
        <f t="shared" si="5"/>
        <v>42.6</v>
      </c>
      <c r="I78" s="4" t="s">
        <v>20</v>
      </c>
    </row>
    <row r="79" spans="1:9" x14ac:dyDescent="0.25">
      <c r="A79" t="s">
        <v>23</v>
      </c>
      <c r="B79" t="s">
        <v>83</v>
      </c>
      <c r="C79" s="70" t="s">
        <v>22</v>
      </c>
      <c r="D79" s="70"/>
      <c r="E79" s="3">
        <f t="shared" si="6"/>
        <v>5</v>
      </c>
      <c r="F79" s="15">
        <v>42.2</v>
      </c>
      <c r="G79" s="15">
        <v>1.1000000000000001</v>
      </c>
      <c r="H79" s="15">
        <f t="shared" si="5"/>
        <v>41.1</v>
      </c>
      <c r="I79" s="4" t="s">
        <v>20</v>
      </c>
    </row>
    <row r="80" spans="1:9" x14ac:dyDescent="0.25">
      <c r="A80" t="s">
        <v>23</v>
      </c>
      <c r="B80" t="s">
        <v>83</v>
      </c>
      <c r="C80" s="70" t="s">
        <v>22</v>
      </c>
      <c r="D80" s="70"/>
      <c r="E80" s="3">
        <f t="shared" si="6"/>
        <v>6</v>
      </c>
      <c r="F80" s="15">
        <v>42.5</v>
      </c>
      <c r="G80" s="15">
        <v>1.2</v>
      </c>
      <c r="H80" s="15">
        <f t="shared" si="5"/>
        <v>41.3</v>
      </c>
      <c r="I80" s="4" t="s">
        <v>20</v>
      </c>
    </row>
    <row r="81" spans="1:11" x14ac:dyDescent="0.25">
      <c r="A81" t="s">
        <v>23</v>
      </c>
      <c r="B81" t="s">
        <v>83</v>
      </c>
      <c r="C81" s="70" t="s">
        <v>22</v>
      </c>
      <c r="D81" s="70"/>
      <c r="E81" s="3">
        <f t="shared" si="6"/>
        <v>7</v>
      </c>
      <c r="F81" s="15">
        <v>39.700000000000003</v>
      </c>
      <c r="G81" s="15">
        <v>1.1000000000000001</v>
      </c>
      <c r="H81" s="15">
        <f t="shared" si="5"/>
        <v>38.6</v>
      </c>
      <c r="I81" s="4" t="s">
        <v>20</v>
      </c>
    </row>
    <row r="82" spans="1:11" x14ac:dyDescent="0.25">
      <c r="A82" t="s">
        <v>23</v>
      </c>
      <c r="B82" t="s">
        <v>83</v>
      </c>
      <c r="C82" s="70" t="s">
        <v>22</v>
      </c>
      <c r="D82" s="70"/>
      <c r="E82" s="3">
        <f t="shared" si="6"/>
        <v>8</v>
      </c>
      <c r="F82" s="15">
        <v>44</v>
      </c>
      <c r="G82" s="15">
        <v>1</v>
      </c>
      <c r="H82" s="15">
        <f t="shared" si="5"/>
        <v>43</v>
      </c>
      <c r="I82" s="4" t="s">
        <v>20</v>
      </c>
    </row>
    <row r="83" spans="1:11" x14ac:dyDescent="0.25">
      <c r="A83" t="s">
        <v>23</v>
      </c>
      <c r="B83" t="s">
        <v>83</v>
      </c>
      <c r="C83" s="70" t="s">
        <v>22</v>
      </c>
      <c r="D83" s="70"/>
      <c r="E83" s="3">
        <f t="shared" si="6"/>
        <v>9</v>
      </c>
      <c r="F83" s="15">
        <v>41.9</v>
      </c>
      <c r="G83" s="15">
        <v>1.1000000000000001</v>
      </c>
      <c r="H83" s="15">
        <f t="shared" si="5"/>
        <v>40.799999999999997</v>
      </c>
      <c r="I83" s="4" t="s">
        <v>20</v>
      </c>
    </row>
    <row r="84" spans="1:11" ht="15.75" thickBot="1" x14ac:dyDescent="0.3">
      <c r="A84" t="s">
        <v>23</v>
      </c>
      <c r="B84" t="s">
        <v>83</v>
      </c>
      <c r="C84" s="70" t="s">
        <v>22</v>
      </c>
      <c r="D84" s="70"/>
      <c r="E84" s="3">
        <f t="shared" si="6"/>
        <v>10</v>
      </c>
      <c r="F84" s="15">
        <v>43.1</v>
      </c>
      <c r="G84" s="15">
        <v>1.2</v>
      </c>
      <c r="H84" s="15">
        <f t="shared" si="5"/>
        <v>41.9</v>
      </c>
      <c r="I84" s="4" t="s">
        <v>20</v>
      </c>
    </row>
    <row r="85" spans="1:11" ht="16.5" thickTop="1" thickBot="1" x14ac:dyDescent="0.3">
      <c r="A85" s="75" t="s">
        <v>27</v>
      </c>
      <c r="B85" s="75"/>
      <c r="C85" s="75"/>
      <c r="D85" s="75"/>
      <c r="E85" s="12">
        <f>E84</f>
        <v>10</v>
      </c>
      <c r="F85" s="14">
        <f>SUM(F75:F84)</f>
        <v>425.6</v>
      </c>
      <c r="G85" s="14">
        <f>SUM(G75:G84)</f>
        <v>11.1</v>
      </c>
      <c r="H85" s="14">
        <f>SUM(H75:H84)</f>
        <v>414.5</v>
      </c>
      <c r="I85" s="13"/>
      <c r="K85" s="27">
        <f>E8-F85</f>
        <v>-1</v>
      </c>
    </row>
    <row r="86" spans="1:11" ht="6" customHeight="1" thickTop="1" x14ac:dyDescent="0.25"/>
    <row r="87" spans="1:11" ht="15.75" thickBot="1" x14ac:dyDescent="0.3">
      <c r="A87" s="1" t="s">
        <v>29</v>
      </c>
    </row>
    <row r="88" spans="1:11" ht="33" customHeight="1" thickTop="1" thickBot="1" x14ac:dyDescent="0.3">
      <c r="A88" s="9" t="s">
        <v>7</v>
      </c>
      <c r="B88" s="9" t="s">
        <v>2</v>
      </c>
      <c r="C88" s="73" t="s">
        <v>6</v>
      </c>
      <c r="D88" s="73"/>
      <c r="E88" s="11" t="s">
        <v>30</v>
      </c>
      <c r="F88" s="11" t="s">
        <v>31</v>
      </c>
      <c r="G88" s="11" t="s">
        <v>32</v>
      </c>
      <c r="H88" s="11" t="s">
        <v>33</v>
      </c>
      <c r="I88" s="11" t="s">
        <v>37</v>
      </c>
    </row>
    <row r="89" spans="1:11" ht="16.5" thickTop="1" thickBot="1" x14ac:dyDescent="0.3">
      <c r="A89" t="s">
        <v>23</v>
      </c>
      <c r="B89" t="str">
        <f>B84</f>
        <v>KASTURI</v>
      </c>
      <c r="C89" s="80" t="s">
        <v>22</v>
      </c>
      <c r="D89" s="80"/>
      <c r="E89" s="15">
        <v>251.9</v>
      </c>
      <c r="F89" s="15">
        <v>150.5</v>
      </c>
      <c r="G89" s="15">
        <v>9.1999999999999993</v>
      </c>
      <c r="H89" s="15">
        <f>IF(E89="","",(H85-E89-F89-G89))</f>
        <v>2.899999999999995</v>
      </c>
      <c r="I89" s="15">
        <f>IF(E89="","",SUM(E89:H89))</f>
        <v>414.49999999999994</v>
      </c>
    </row>
    <row r="90" spans="1:11" ht="16.5" thickTop="1" thickBot="1" x14ac:dyDescent="0.3">
      <c r="A90" s="77" t="s">
        <v>52</v>
      </c>
      <c r="B90" s="77"/>
      <c r="C90" s="77"/>
      <c r="D90" s="77"/>
      <c r="E90" s="20">
        <f>IF(E89="","",E89/$H85)</f>
        <v>0.60772014475271408</v>
      </c>
      <c r="F90" s="38">
        <f>IF(F89="","",F89/$H85)</f>
        <v>0.36308805790108567</v>
      </c>
      <c r="G90" s="38">
        <f t="shared" ref="G90:H90" si="7">IF(G89="","",G89/$H85)</f>
        <v>2.2195416164053076E-2</v>
      </c>
      <c r="H90" s="38">
        <f t="shared" si="7"/>
        <v>6.9963811821471536E-3</v>
      </c>
      <c r="I90" s="17">
        <f>IF(I89="","",SUM(E90:H90))</f>
        <v>1</v>
      </c>
    </row>
    <row r="91" spans="1:11" ht="15.75" thickTop="1" x14ac:dyDescent="0.25">
      <c r="A91" s="19" t="s">
        <v>16</v>
      </c>
    </row>
    <row r="92" spans="1:11" ht="9.9499999999999993" customHeight="1" x14ac:dyDescent="0.25">
      <c r="A92" s="7" t="s">
        <v>36</v>
      </c>
    </row>
    <row r="93" spans="1:11" ht="9.9499999999999993" customHeight="1" x14ac:dyDescent="0.25">
      <c r="A93" s="7" t="s">
        <v>35</v>
      </c>
    </row>
    <row r="94" spans="1:11" ht="9.9499999999999993" customHeight="1" x14ac:dyDescent="0.25">
      <c r="A94" s="7" t="s">
        <v>34</v>
      </c>
    </row>
    <row r="95" spans="1:11" ht="9.9499999999999993" customHeight="1" x14ac:dyDescent="0.25">
      <c r="A95" s="7" t="s">
        <v>50</v>
      </c>
    </row>
    <row r="96" spans="1:11" ht="5.25" customHeight="1" x14ac:dyDescent="0.25"/>
    <row r="97" spans="1:9" ht="15.75" thickBot="1" x14ac:dyDescent="0.3">
      <c r="A97" s="1" t="s">
        <v>128</v>
      </c>
      <c r="B97" s="1"/>
      <c r="C97" s="1"/>
    </row>
    <row r="98" spans="1:9" ht="16.5" thickTop="1" thickBot="1" x14ac:dyDescent="0.3">
      <c r="A98" s="9" t="s">
        <v>7</v>
      </c>
      <c r="B98" s="9" t="s">
        <v>2</v>
      </c>
      <c r="C98" s="73" t="s">
        <v>6</v>
      </c>
      <c r="D98" s="73"/>
      <c r="E98" s="10" t="s">
        <v>25</v>
      </c>
      <c r="F98" s="10" t="s">
        <v>3</v>
      </c>
      <c r="G98" s="10" t="s">
        <v>4</v>
      </c>
      <c r="H98" s="10" t="s">
        <v>5</v>
      </c>
      <c r="I98" s="11" t="s">
        <v>26</v>
      </c>
    </row>
    <row r="99" spans="1:9" x14ac:dyDescent="0.25">
      <c r="A99" t="s">
        <v>23</v>
      </c>
      <c r="B99" t="s">
        <v>62</v>
      </c>
      <c r="C99" s="74" t="s">
        <v>61</v>
      </c>
      <c r="D99" s="74"/>
      <c r="E99" s="3">
        <v>1</v>
      </c>
      <c r="F99" s="15">
        <v>20.399999999999999</v>
      </c>
      <c r="G99" s="15">
        <v>0.4</v>
      </c>
      <c r="H99" s="15">
        <f>F99-G99</f>
        <v>20</v>
      </c>
      <c r="I99" s="4" t="s">
        <v>20</v>
      </c>
    </row>
    <row r="100" spans="1:9" x14ac:dyDescent="0.25">
      <c r="A100" t="s">
        <v>23</v>
      </c>
      <c r="B100" t="s">
        <v>62</v>
      </c>
      <c r="C100" s="70" t="s">
        <v>61</v>
      </c>
      <c r="D100" s="70"/>
      <c r="E100" s="3">
        <f>E99+1</f>
        <v>2</v>
      </c>
      <c r="F100" s="15">
        <v>20.399999999999999</v>
      </c>
      <c r="G100" s="15">
        <v>0.4</v>
      </c>
      <c r="H100" s="15">
        <f t="shared" ref="H100:H138" si="8">F100-G100</f>
        <v>20</v>
      </c>
      <c r="I100" s="4" t="s">
        <v>20</v>
      </c>
    </row>
    <row r="101" spans="1:9" x14ac:dyDescent="0.25">
      <c r="A101" t="s">
        <v>23</v>
      </c>
      <c r="B101" t="s">
        <v>62</v>
      </c>
      <c r="C101" s="70" t="s">
        <v>61</v>
      </c>
      <c r="D101" s="70"/>
      <c r="E101" s="3">
        <f t="shared" ref="E101:E138" si="9">E100+1</f>
        <v>3</v>
      </c>
      <c r="F101" s="15">
        <v>20.399999999999999</v>
      </c>
      <c r="G101" s="15">
        <v>0.4</v>
      </c>
      <c r="H101" s="15">
        <f t="shared" si="8"/>
        <v>20</v>
      </c>
      <c r="I101" s="4" t="s">
        <v>20</v>
      </c>
    </row>
    <row r="102" spans="1:9" x14ac:dyDescent="0.25">
      <c r="A102" t="s">
        <v>23</v>
      </c>
      <c r="B102" t="s">
        <v>62</v>
      </c>
      <c r="C102" s="70" t="s">
        <v>61</v>
      </c>
      <c r="D102" s="70"/>
      <c r="E102" s="3">
        <f t="shared" si="9"/>
        <v>4</v>
      </c>
      <c r="F102" s="15">
        <v>20.399999999999999</v>
      </c>
      <c r="G102" s="15">
        <v>0.4</v>
      </c>
      <c r="H102" s="15">
        <f t="shared" si="8"/>
        <v>20</v>
      </c>
      <c r="I102" s="4" t="s">
        <v>20</v>
      </c>
    </row>
    <row r="103" spans="1:9" x14ac:dyDescent="0.25">
      <c r="A103" t="s">
        <v>23</v>
      </c>
      <c r="B103" t="s">
        <v>62</v>
      </c>
      <c r="C103" s="70" t="s">
        <v>61</v>
      </c>
      <c r="D103" s="70"/>
      <c r="E103" s="3">
        <f t="shared" si="9"/>
        <v>5</v>
      </c>
      <c r="F103" s="15">
        <v>20.399999999999999</v>
      </c>
      <c r="G103" s="15">
        <v>0.4</v>
      </c>
      <c r="H103" s="15">
        <f t="shared" si="8"/>
        <v>20</v>
      </c>
      <c r="I103" s="4" t="s">
        <v>20</v>
      </c>
    </row>
    <row r="104" spans="1:9" x14ac:dyDescent="0.25">
      <c r="A104" t="s">
        <v>23</v>
      </c>
      <c r="B104" t="s">
        <v>62</v>
      </c>
      <c r="C104" s="70" t="s">
        <v>61</v>
      </c>
      <c r="D104" s="70"/>
      <c r="E104" s="3">
        <f t="shared" si="9"/>
        <v>6</v>
      </c>
      <c r="F104" s="15">
        <v>20.399999999999999</v>
      </c>
      <c r="G104" s="15">
        <v>0.4</v>
      </c>
      <c r="H104" s="15">
        <f t="shared" si="8"/>
        <v>20</v>
      </c>
      <c r="I104" s="4" t="s">
        <v>20</v>
      </c>
    </row>
    <row r="105" spans="1:9" x14ac:dyDescent="0.25">
      <c r="A105" t="s">
        <v>23</v>
      </c>
      <c r="B105" t="s">
        <v>62</v>
      </c>
      <c r="C105" s="70" t="s">
        <v>61</v>
      </c>
      <c r="D105" s="70"/>
      <c r="E105" s="3">
        <f t="shared" si="9"/>
        <v>7</v>
      </c>
      <c r="F105" s="15">
        <v>20.399999999999999</v>
      </c>
      <c r="G105" s="15">
        <v>0.4</v>
      </c>
      <c r="H105" s="15">
        <f t="shared" si="8"/>
        <v>20</v>
      </c>
      <c r="I105" s="4" t="s">
        <v>20</v>
      </c>
    </row>
    <row r="106" spans="1:9" x14ac:dyDescent="0.25">
      <c r="A106" t="s">
        <v>23</v>
      </c>
      <c r="B106" t="s">
        <v>62</v>
      </c>
      <c r="C106" s="70" t="s">
        <v>61</v>
      </c>
      <c r="D106" s="70"/>
      <c r="E106" s="3">
        <f t="shared" si="9"/>
        <v>8</v>
      </c>
      <c r="F106" s="15">
        <v>20.399999999999999</v>
      </c>
      <c r="G106" s="15">
        <v>0.4</v>
      </c>
      <c r="H106" s="15">
        <f t="shared" si="8"/>
        <v>20</v>
      </c>
      <c r="I106" s="4" t="s">
        <v>20</v>
      </c>
    </row>
    <row r="107" spans="1:9" x14ac:dyDescent="0.25">
      <c r="A107" t="s">
        <v>23</v>
      </c>
      <c r="B107" t="s">
        <v>62</v>
      </c>
      <c r="C107" s="70" t="s">
        <v>61</v>
      </c>
      <c r="D107" s="70"/>
      <c r="E107" s="3">
        <f t="shared" si="9"/>
        <v>9</v>
      </c>
      <c r="F107" s="15">
        <v>20.399999999999999</v>
      </c>
      <c r="G107" s="15">
        <v>0.4</v>
      </c>
      <c r="H107" s="15">
        <f t="shared" si="8"/>
        <v>20</v>
      </c>
      <c r="I107" s="4" t="s">
        <v>20</v>
      </c>
    </row>
    <row r="108" spans="1:9" x14ac:dyDescent="0.25">
      <c r="A108" t="s">
        <v>23</v>
      </c>
      <c r="B108" t="s">
        <v>62</v>
      </c>
      <c r="C108" s="70" t="s">
        <v>61</v>
      </c>
      <c r="D108" s="70"/>
      <c r="E108" s="3">
        <f t="shared" si="9"/>
        <v>10</v>
      </c>
      <c r="F108" s="15">
        <v>20.399999999999999</v>
      </c>
      <c r="G108" s="15">
        <v>0.4</v>
      </c>
      <c r="H108" s="15">
        <f t="shared" si="8"/>
        <v>20</v>
      </c>
      <c r="I108" s="4" t="s">
        <v>20</v>
      </c>
    </row>
    <row r="109" spans="1:9" x14ac:dyDescent="0.25">
      <c r="A109" t="s">
        <v>23</v>
      </c>
      <c r="B109" t="s">
        <v>62</v>
      </c>
      <c r="C109" s="70" t="s">
        <v>61</v>
      </c>
      <c r="D109" s="70"/>
      <c r="E109" s="3">
        <f t="shared" si="9"/>
        <v>11</v>
      </c>
      <c r="F109" s="15">
        <v>20.399999999999999</v>
      </c>
      <c r="G109" s="15">
        <v>0.4</v>
      </c>
      <c r="H109" s="15">
        <f t="shared" si="8"/>
        <v>20</v>
      </c>
      <c r="I109" s="4" t="s">
        <v>20</v>
      </c>
    </row>
    <row r="110" spans="1:9" x14ac:dyDescent="0.25">
      <c r="A110" t="s">
        <v>23</v>
      </c>
      <c r="B110" t="s">
        <v>62</v>
      </c>
      <c r="C110" s="70" t="s">
        <v>61</v>
      </c>
      <c r="D110" s="70"/>
      <c r="E110" s="3">
        <f t="shared" si="9"/>
        <v>12</v>
      </c>
      <c r="F110" s="15">
        <v>20.399999999999999</v>
      </c>
      <c r="G110" s="15">
        <v>0.4</v>
      </c>
      <c r="H110" s="15">
        <f t="shared" si="8"/>
        <v>20</v>
      </c>
      <c r="I110" s="4" t="s">
        <v>20</v>
      </c>
    </row>
    <row r="111" spans="1:9" x14ac:dyDescent="0.25">
      <c r="A111" t="s">
        <v>23</v>
      </c>
      <c r="B111" t="s">
        <v>62</v>
      </c>
      <c r="C111" s="70" t="s">
        <v>61</v>
      </c>
      <c r="D111" s="70"/>
      <c r="E111" s="3">
        <f t="shared" si="9"/>
        <v>13</v>
      </c>
      <c r="F111" s="15">
        <v>20.399999999999999</v>
      </c>
      <c r="G111" s="15">
        <v>0.4</v>
      </c>
      <c r="H111" s="15">
        <f t="shared" si="8"/>
        <v>20</v>
      </c>
      <c r="I111" s="4" t="s">
        <v>20</v>
      </c>
    </row>
    <row r="112" spans="1:9" x14ac:dyDescent="0.25">
      <c r="A112" t="s">
        <v>23</v>
      </c>
      <c r="B112" t="s">
        <v>62</v>
      </c>
      <c r="C112" s="70" t="s">
        <v>61</v>
      </c>
      <c r="D112" s="70"/>
      <c r="E112" s="3">
        <f t="shared" si="9"/>
        <v>14</v>
      </c>
      <c r="F112" s="15">
        <v>20.399999999999999</v>
      </c>
      <c r="G112" s="15">
        <v>0.4</v>
      </c>
      <c r="H112" s="15">
        <f t="shared" si="8"/>
        <v>20</v>
      </c>
      <c r="I112" s="4" t="s">
        <v>20</v>
      </c>
    </row>
    <row r="113" spans="1:9" x14ac:dyDescent="0.25">
      <c r="A113" t="s">
        <v>23</v>
      </c>
      <c r="B113" t="s">
        <v>62</v>
      </c>
      <c r="C113" s="70" t="s">
        <v>61</v>
      </c>
      <c r="D113" s="70"/>
      <c r="E113" s="3">
        <f t="shared" si="9"/>
        <v>15</v>
      </c>
      <c r="F113" s="15">
        <v>20.399999999999999</v>
      </c>
      <c r="G113" s="15">
        <v>0.4</v>
      </c>
      <c r="H113" s="15">
        <f t="shared" si="8"/>
        <v>20</v>
      </c>
      <c r="I113" s="4" t="s">
        <v>20</v>
      </c>
    </row>
    <row r="114" spans="1:9" x14ac:dyDescent="0.25">
      <c r="A114" t="s">
        <v>23</v>
      </c>
      <c r="B114" t="s">
        <v>62</v>
      </c>
      <c r="C114" s="70" t="s">
        <v>61</v>
      </c>
      <c r="D114" s="70"/>
      <c r="E114" s="3">
        <f t="shared" si="9"/>
        <v>16</v>
      </c>
      <c r="F114" s="15">
        <v>20.399999999999999</v>
      </c>
      <c r="G114" s="15">
        <v>0.4</v>
      </c>
      <c r="H114" s="15">
        <f t="shared" si="8"/>
        <v>20</v>
      </c>
      <c r="I114" s="4" t="s">
        <v>20</v>
      </c>
    </row>
    <row r="115" spans="1:9" x14ac:dyDescent="0.25">
      <c r="A115" t="s">
        <v>23</v>
      </c>
      <c r="B115" t="s">
        <v>62</v>
      </c>
      <c r="C115" s="70" t="s">
        <v>61</v>
      </c>
      <c r="D115" s="70"/>
      <c r="E115" s="3">
        <f t="shared" si="9"/>
        <v>17</v>
      </c>
      <c r="F115" s="15">
        <v>20.399999999999999</v>
      </c>
      <c r="G115" s="15">
        <v>0.4</v>
      </c>
      <c r="H115" s="15">
        <f t="shared" si="8"/>
        <v>20</v>
      </c>
      <c r="I115" s="4" t="s">
        <v>20</v>
      </c>
    </row>
    <row r="116" spans="1:9" x14ac:dyDescent="0.25">
      <c r="A116" t="s">
        <v>23</v>
      </c>
      <c r="B116" t="s">
        <v>62</v>
      </c>
      <c r="C116" s="70" t="s">
        <v>61</v>
      </c>
      <c r="D116" s="70"/>
      <c r="E116" s="3">
        <f t="shared" si="9"/>
        <v>18</v>
      </c>
      <c r="F116" s="15">
        <v>20.399999999999999</v>
      </c>
      <c r="G116" s="15">
        <v>0.4</v>
      </c>
      <c r="H116" s="15">
        <f t="shared" si="8"/>
        <v>20</v>
      </c>
      <c r="I116" s="4" t="s">
        <v>20</v>
      </c>
    </row>
    <row r="117" spans="1:9" x14ac:dyDescent="0.25">
      <c r="A117" t="s">
        <v>23</v>
      </c>
      <c r="B117" t="s">
        <v>62</v>
      </c>
      <c r="C117" s="70" t="s">
        <v>61</v>
      </c>
      <c r="D117" s="70"/>
      <c r="E117" s="3">
        <f t="shared" si="9"/>
        <v>19</v>
      </c>
      <c r="F117" s="15">
        <v>20.399999999999999</v>
      </c>
      <c r="G117" s="15">
        <v>0.4</v>
      </c>
      <c r="H117" s="15">
        <f t="shared" si="8"/>
        <v>20</v>
      </c>
      <c r="I117" s="4" t="s">
        <v>20</v>
      </c>
    </row>
    <row r="118" spans="1:9" x14ac:dyDescent="0.25">
      <c r="A118" t="s">
        <v>23</v>
      </c>
      <c r="B118" t="s">
        <v>62</v>
      </c>
      <c r="C118" s="70" t="s">
        <v>61</v>
      </c>
      <c r="D118" s="70"/>
      <c r="E118" s="3">
        <f t="shared" si="9"/>
        <v>20</v>
      </c>
      <c r="F118" s="15">
        <v>20.399999999999999</v>
      </c>
      <c r="G118" s="15">
        <v>0.4</v>
      </c>
      <c r="H118" s="15">
        <f t="shared" si="8"/>
        <v>20</v>
      </c>
      <c r="I118" s="4" t="s">
        <v>20</v>
      </c>
    </row>
    <row r="119" spans="1:9" x14ac:dyDescent="0.25">
      <c r="A119" t="s">
        <v>23</v>
      </c>
      <c r="B119" t="s">
        <v>62</v>
      </c>
      <c r="C119" s="70" t="s">
        <v>61</v>
      </c>
      <c r="D119" s="70"/>
      <c r="E119" s="3">
        <f t="shared" si="9"/>
        <v>21</v>
      </c>
      <c r="F119" s="15">
        <v>20.399999999999999</v>
      </c>
      <c r="G119" s="15">
        <v>0.4</v>
      </c>
      <c r="H119" s="15">
        <f t="shared" si="8"/>
        <v>20</v>
      </c>
      <c r="I119" s="4" t="s">
        <v>20</v>
      </c>
    </row>
    <row r="120" spans="1:9" x14ac:dyDescent="0.25">
      <c r="A120" t="s">
        <v>23</v>
      </c>
      <c r="B120" t="s">
        <v>62</v>
      </c>
      <c r="C120" s="70" t="s">
        <v>61</v>
      </c>
      <c r="D120" s="70"/>
      <c r="E120" s="3">
        <f t="shared" si="9"/>
        <v>22</v>
      </c>
      <c r="F120" s="15">
        <v>20.399999999999999</v>
      </c>
      <c r="G120" s="15">
        <v>0.4</v>
      </c>
      <c r="H120" s="15">
        <f t="shared" si="8"/>
        <v>20</v>
      </c>
      <c r="I120" s="4" t="s">
        <v>20</v>
      </c>
    </row>
    <row r="121" spans="1:9" x14ac:dyDescent="0.25">
      <c r="A121" t="s">
        <v>23</v>
      </c>
      <c r="B121" t="s">
        <v>62</v>
      </c>
      <c r="C121" s="70" t="s">
        <v>61</v>
      </c>
      <c r="D121" s="70"/>
      <c r="E121" s="3">
        <f t="shared" si="9"/>
        <v>23</v>
      </c>
      <c r="F121" s="15">
        <v>20.399999999999999</v>
      </c>
      <c r="G121" s="15">
        <v>0.4</v>
      </c>
      <c r="H121" s="15">
        <f t="shared" si="8"/>
        <v>20</v>
      </c>
      <c r="I121" s="4" t="s">
        <v>20</v>
      </c>
    </row>
    <row r="122" spans="1:9" x14ac:dyDescent="0.25">
      <c r="A122" t="s">
        <v>23</v>
      </c>
      <c r="B122" t="s">
        <v>62</v>
      </c>
      <c r="C122" s="70" t="s">
        <v>61</v>
      </c>
      <c r="D122" s="70"/>
      <c r="E122" s="3">
        <f t="shared" si="9"/>
        <v>24</v>
      </c>
      <c r="F122" s="15">
        <v>20.399999999999999</v>
      </c>
      <c r="G122" s="15">
        <v>0.4</v>
      </c>
      <c r="H122" s="15">
        <f t="shared" si="8"/>
        <v>20</v>
      </c>
      <c r="I122" s="4" t="s">
        <v>20</v>
      </c>
    </row>
    <row r="123" spans="1:9" x14ac:dyDescent="0.25">
      <c r="A123" t="s">
        <v>23</v>
      </c>
      <c r="B123" t="s">
        <v>62</v>
      </c>
      <c r="C123" s="70" t="s">
        <v>61</v>
      </c>
      <c r="D123" s="70"/>
      <c r="E123" s="3">
        <f t="shared" si="9"/>
        <v>25</v>
      </c>
      <c r="F123" s="15">
        <v>20.399999999999999</v>
      </c>
      <c r="G123" s="15">
        <v>0.4</v>
      </c>
      <c r="H123" s="15">
        <f t="shared" si="8"/>
        <v>20</v>
      </c>
      <c r="I123" s="4" t="s">
        <v>20</v>
      </c>
    </row>
    <row r="124" spans="1:9" x14ac:dyDescent="0.25">
      <c r="A124" t="s">
        <v>23</v>
      </c>
      <c r="B124" t="s">
        <v>62</v>
      </c>
      <c r="C124" s="70" t="s">
        <v>61</v>
      </c>
      <c r="D124" s="70"/>
      <c r="E124" s="3">
        <f t="shared" si="9"/>
        <v>26</v>
      </c>
      <c r="F124" s="15">
        <v>20.399999999999999</v>
      </c>
      <c r="G124" s="15">
        <v>0.4</v>
      </c>
      <c r="H124" s="15">
        <f t="shared" si="8"/>
        <v>20</v>
      </c>
      <c r="I124" s="4" t="s">
        <v>20</v>
      </c>
    </row>
    <row r="125" spans="1:9" x14ac:dyDescent="0.25">
      <c r="A125" t="s">
        <v>23</v>
      </c>
      <c r="B125" t="s">
        <v>62</v>
      </c>
      <c r="C125" s="70" t="s">
        <v>61</v>
      </c>
      <c r="D125" s="70"/>
      <c r="E125" s="3">
        <f t="shared" si="9"/>
        <v>27</v>
      </c>
      <c r="F125" s="15">
        <v>20.399999999999999</v>
      </c>
      <c r="G125" s="15">
        <v>0.4</v>
      </c>
      <c r="H125" s="15">
        <f t="shared" si="8"/>
        <v>20</v>
      </c>
      <c r="I125" s="4" t="s">
        <v>20</v>
      </c>
    </row>
    <row r="126" spans="1:9" x14ac:dyDescent="0.25">
      <c r="A126" t="s">
        <v>23</v>
      </c>
      <c r="B126" t="s">
        <v>62</v>
      </c>
      <c r="C126" s="70" t="s">
        <v>61</v>
      </c>
      <c r="D126" s="70"/>
      <c r="E126" s="3">
        <f t="shared" si="9"/>
        <v>28</v>
      </c>
      <c r="F126" s="15">
        <v>20.399999999999999</v>
      </c>
      <c r="G126" s="15">
        <v>0.4</v>
      </c>
      <c r="H126" s="15">
        <f t="shared" si="8"/>
        <v>20</v>
      </c>
      <c r="I126" s="4" t="s">
        <v>20</v>
      </c>
    </row>
    <row r="127" spans="1:9" x14ac:dyDescent="0.25">
      <c r="A127" t="s">
        <v>23</v>
      </c>
      <c r="B127" t="s">
        <v>62</v>
      </c>
      <c r="C127" s="70" t="s">
        <v>61</v>
      </c>
      <c r="D127" s="70"/>
      <c r="E127" s="3">
        <f t="shared" si="9"/>
        <v>29</v>
      </c>
      <c r="F127" s="15">
        <v>20.399999999999999</v>
      </c>
      <c r="G127" s="15">
        <v>0.4</v>
      </c>
      <c r="H127" s="15">
        <f t="shared" si="8"/>
        <v>20</v>
      </c>
      <c r="I127" s="4" t="s">
        <v>20</v>
      </c>
    </row>
    <row r="128" spans="1:9" x14ac:dyDescent="0.25">
      <c r="A128" t="s">
        <v>23</v>
      </c>
      <c r="B128" t="s">
        <v>62</v>
      </c>
      <c r="C128" s="70" t="s">
        <v>61</v>
      </c>
      <c r="D128" s="70"/>
      <c r="E128" s="3">
        <f t="shared" si="9"/>
        <v>30</v>
      </c>
      <c r="F128" s="15">
        <v>20.399999999999999</v>
      </c>
      <c r="G128" s="15">
        <v>0.4</v>
      </c>
      <c r="H128" s="15">
        <f t="shared" si="8"/>
        <v>20</v>
      </c>
      <c r="I128" s="4" t="s">
        <v>20</v>
      </c>
    </row>
    <row r="129" spans="1:14" x14ac:dyDescent="0.25">
      <c r="A129" t="s">
        <v>23</v>
      </c>
      <c r="B129" t="s">
        <v>62</v>
      </c>
      <c r="C129" s="70" t="s">
        <v>61</v>
      </c>
      <c r="D129" s="70"/>
      <c r="E129" s="3">
        <f t="shared" si="9"/>
        <v>31</v>
      </c>
      <c r="F129" s="15">
        <v>20.399999999999999</v>
      </c>
      <c r="G129" s="15">
        <v>0.4</v>
      </c>
      <c r="H129" s="15">
        <f t="shared" si="8"/>
        <v>20</v>
      </c>
      <c r="I129" s="4" t="s">
        <v>20</v>
      </c>
    </row>
    <row r="130" spans="1:14" x14ac:dyDescent="0.25">
      <c r="A130" t="s">
        <v>23</v>
      </c>
      <c r="B130" t="s">
        <v>62</v>
      </c>
      <c r="C130" s="70" t="s">
        <v>61</v>
      </c>
      <c r="D130" s="70"/>
      <c r="E130" s="3">
        <f t="shared" si="9"/>
        <v>32</v>
      </c>
      <c r="F130" s="15">
        <v>20.399999999999999</v>
      </c>
      <c r="G130" s="15">
        <v>0.4</v>
      </c>
      <c r="H130" s="15">
        <f t="shared" si="8"/>
        <v>20</v>
      </c>
      <c r="I130" s="4" t="s">
        <v>20</v>
      </c>
    </row>
    <row r="131" spans="1:14" x14ac:dyDescent="0.25">
      <c r="A131" t="s">
        <v>23</v>
      </c>
      <c r="B131" t="s">
        <v>62</v>
      </c>
      <c r="C131" s="70" t="s">
        <v>61</v>
      </c>
      <c r="D131" s="70"/>
      <c r="E131" s="3">
        <f t="shared" si="9"/>
        <v>33</v>
      </c>
      <c r="F131" s="15">
        <v>20.399999999999999</v>
      </c>
      <c r="G131" s="15">
        <v>0.4</v>
      </c>
      <c r="H131" s="15">
        <f t="shared" si="8"/>
        <v>20</v>
      </c>
      <c r="I131" s="4" t="s">
        <v>20</v>
      </c>
    </row>
    <row r="132" spans="1:14" x14ac:dyDescent="0.25">
      <c r="A132" t="s">
        <v>23</v>
      </c>
      <c r="B132" t="s">
        <v>62</v>
      </c>
      <c r="C132" s="70" t="s">
        <v>61</v>
      </c>
      <c r="D132" s="70"/>
      <c r="E132" s="3">
        <f t="shared" si="9"/>
        <v>34</v>
      </c>
      <c r="F132" s="15">
        <v>20.399999999999999</v>
      </c>
      <c r="G132" s="15">
        <v>0.4</v>
      </c>
      <c r="H132" s="15">
        <f t="shared" si="8"/>
        <v>20</v>
      </c>
      <c r="I132" s="4" t="s">
        <v>20</v>
      </c>
    </row>
    <row r="133" spans="1:14" x14ac:dyDescent="0.25">
      <c r="A133" t="s">
        <v>23</v>
      </c>
      <c r="B133" t="s">
        <v>62</v>
      </c>
      <c r="C133" s="70" t="s">
        <v>61</v>
      </c>
      <c r="D133" s="70"/>
      <c r="E133" s="3">
        <f t="shared" si="9"/>
        <v>35</v>
      </c>
      <c r="F133" s="15">
        <v>20.399999999999999</v>
      </c>
      <c r="G133" s="15">
        <v>0.4</v>
      </c>
      <c r="H133" s="15">
        <f t="shared" si="8"/>
        <v>20</v>
      </c>
      <c r="I133" s="4" t="s">
        <v>20</v>
      </c>
    </row>
    <row r="134" spans="1:14" x14ac:dyDescent="0.25">
      <c r="A134" t="s">
        <v>23</v>
      </c>
      <c r="B134" t="s">
        <v>62</v>
      </c>
      <c r="C134" s="70" t="s">
        <v>61</v>
      </c>
      <c r="D134" s="70"/>
      <c r="E134" s="3">
        <f t="shared" si="9"/>
        <v>36</v>
      </c>
      <c r="F134" s="15">
        <v>20.399999999999999</v>
      </c>
      <c r="G134" s="15">
        <v>0.4</v>
      </c>
      <c r="H134" s="15">
        <f t="shared" si="8"/>
        <v>20</v>
      </c>
      <c r="I134" s="4" t="s">
        <v>20</v>
      </c>
    </row>
    <row r="135" spans="1:14" x14ac:dyDescent="0.25">
      <c r="A135" t="s">
        <v>23</v>
      </c>
      <c r="B135" t="s">
        <v>62</v>
      </c>
      <c r="C135" s="70" t="s">
        <v>61</v>
      </c>
      <c r="D135" s="70"/>
      <c r="E135" s="3">
        <f t="shared" si="9"/>
        <v>37</v>
      </c>
      <c r="F135" s="15">
        <v>20.399999999999999</v>
      </c>
      <c r="G135" s="15">
        <v>0.4</v>
      </c>
      <c r="H135" s="15">
        <f t="shared" si="8"/>
        <v>20</v>
      </c>
      <c r="I135" s="4" t="s">
        <v>20</v>
      </c>
    </row>
    <row r="136" spans="1:14" x14ac:dyDescent="0.25">
      <c r="A136" t="s">
        <v>23</v>
      </c>
      <c r="B136" t="s">
        <v>62</v>
      </c>
      <c r="C136" s="70" t="s">
        <v>61</v>
      </c>
      <c r="D136" s="70"/>
      <c r="E136" s="3">
        <f t="shared" si="9"/>
        <v>38</v>
      </c>
      <c r="F136" s="15">
        <v>20.399999999999999</v>
      </c>
      <c r="G136" s="15">
        <v>0.4</v>
      </c>
      <c r="H136" s="15">
        <f t="shared" si="8"/>
        <v>20</v>
      </c>
      <c r="I136" s="4" t="s">
        <v>20</v>
      </c>
    </row>
    <row r="137" spans="1:14" x14ac:dyDescent="0.25">
      <c r="A137" t="s">
        <v>23</v>
      </c>
      <c r="B137" t="s">
        <v>62</v>
      </c>
      <c r="C137" s="70" t="s">
        <v>61</v>
      </c>
      <c r="D137" s="70"/>
      <c r="E137" s="3">
        <f t="shared" si="9"/>
        <v>39</v>
      </c>
      <c r="F137" s="15">
        <v>20.399999999999999</v>
      </c>
      <c r="G137" s="15">
        <v>0.4</v>
      </c>
      <c r="H137" s="15">
        <f t="shared" si="8"/>
        <v>20</v>
      </c>
      <c r="I137" s="4" t="s">
        <v>20</v>
      </c>
    </row>
    <row r="138" spans="1:14" x14ac:dyDescent="0.25">
      <c r="A138" t="s">
        <v>23</v>
      </c>
      <c r="B138" t="s">
        <v>62</v>
      </c>
      <c r="C138" s="70" t="s">
        <v>61</v>
      </c>
      <c r="D138" s="70"/>
      <c r="E138" s="3">
        <f t="shared" si="9"/>
        <v>40</v>
      </c>
      <c r="F138" s="15">
        <v>20.399999999999999</v>
      </c>
      <c r="G138" s="15">
        <v>0.4</v>
      </c>
      <c r="H138" s="15">
        <f t="shared" si="8"/>
        <v>20</v>
      </c>
      <c r="I138" s="4" t="s">
        <v>20</v>
      </c>
    </row>
    <row r="139" spans="1:14" x14ac:dyDescent="0.25">
      <c r="A139" s="75" t="s">
        <v>27</v>
      </c>
      <c r="B139" s="75"/>
      <c r="C139" s="75"/>
      <c r="D139" s="75"/>
      <c r="E139" s="12">
        <f>E138</f>
        <v>40</v>
      </c>
      <c r="F139" s="14">
        <f>SUM(F99:F138)</f>
        <v>815.99999999999943</v>
      </c>
      <c r="G139" s="14">
        <f>SUM(G99:G138)</f>
        <v>16.000000000000007</v>
      </c>
      <c r="H139" s="14">
        <f>SUM(H99:H138)</f>
        <v>800</v>
      </c>
      <c r="I139" s="13"/>
      <c r="K139" s="27">
        <f>E9-F139</f>
        <v>0</v>
      </c>
    </row>
    <row r="140" spans="1:14" ht="3.75" customHeight="1" thickTop="1" x14ac:dyDescent="0.25"/>
    <row r="141" spans="1:14" ht="15.75" thickTop="1" x14ac:dyDescent="0.25">
      <c r="A141" s="1" t="s">
        <v>29</v>
      </c>
      <c r="N141" t="s">
        <v>66</v>
      </c>
    </row>
    <row r="142" spans="1:14" ht="30.75" thickTop="1" x14ac:dyDescent="0.25">
      <c r="A142" s="9" t="s">
        <v>7</v>
      </c>
      <c r="B142" s="9" t="s">
        <v>2</v>
      </c>
      <c r="C142" s="73" t="s">
        <v>6</v>
      </c>
      <c r="D142" s="73"/>
      <c r="E142" s="11" t="s">
        <v>30</v>
      </c>
      <c r="F142" s="11" t="s">
        <v>31</v>
      </c>
      <c r="G142" s="11" t="s">
        <v>32</v>
      </c>
      <c r="H142" s="11" t="s">
        <v>33</v>
      </c>
      <c r="I142" s="11" t="s">
        <v>37</v>
      </c>
    </row>
    <row r="143" spans="1:14" ht="15.75" thickTop="1" x14ac:dyDescent="0.25">
      <c r="A143" t="s">
        <v>23</v>
      </c>
      <c r="B143" t="s">
        <v>62</v>
      </c>
      <c r="C143" s="76" t="s">
        <v>61</v>
      </c>
      <c r="D143" s="76"/>
      <c r="E143" s="15">
        <f>396+30.3</f>
        <v>426.3</v>
      </c>
      <c r="F143" s="15">
        <v>349.6</v>
      </c>
      <c r="G143" s="15">
        <v>17.8</v>
      </c>
      <c r="H143" s="15">
        <f>IF(E143="","",(H139-E143-F143-G143))</f>
        <v>6.2999999999999652</v>
      </c>
      <c r="I143" s="15">
        <f>IF(E143="","",SUM(E143:H143))</f>
        <v>800</v>
      </c>
      <c r="K143" t="s">
        <v>110</v>
      </c>
    </row>
    <row r="144" spans="1:14" ht="15.75" thickTop="1" x14ac:dyDescent="0.25">
      <c r="A144" s="77" t="s">
        <v>52</v>
      </c>
      <c r="B144" s="77"/>
      <c r="C144" s="77"/>
      <c r="D144" s="77"/>
      <c r="E144" s="20">
        <f>IF(E143="","",E143/$H139)</f>
        <v>0.53287499999999999</v>
      </c>
      <c r="F144" s="38">
        <f>IF(F143="","",F143/$H139)</f>
        <v>0.43700000000000006</v>
      </c>
      <c r="G144" s="38">
        <f t="shared" ref="G144:H144" si="10">IF(G143="","",G143/$H139)</f>
        <v>2.2250000000000002E-2</v>
      </c>
      <c r="H144" s="38">
        <f t="shared" si="10"/>
        <v>7.8749999999999567E-3</v>
      </c>
      <c r="I144" s="17">
        <f>IF(I143="","",SUM(E144:H144))</f>
        <v>1</v>
      </c>
    </row>
    <row r="145" spans="1:1" ht="15.75" thickTop="1" x14ac:dyDescent="0.25">
      <c r="A145" s="19" t="s">
        <v>16</v>
      </c>
    </row>
    <row r="146" spans="1:1" ht="9.9499999999999993" customHeight="1" x14ac:dyDescent="0.25">
      <c r="A146" s="7" t="s">
        <v>36</v>
      </c>
    </row>
    <row r="147" spans="1:1" ht="9.9499999999999993" customHeight="1" x14ac:dyDescent="0.25">
      <c r="A147" s="7" t="s">
        <v>35</v>
      </c>
    </row>
    <row r="148" spans="1:1" ht="9.9499999999999993" customHeight="1" x14ac:dyDescent="0.25">
      <c r="A148" s="7" t="s">
        <v>34</v>
      </c>
    </row>
    <row r="149" spans="1:1" ht="9.9499999999999993" customHeight="1" x14ac:dyDescent="0.25">
      <c r="A149" s="7" t="s">
        <v>50</v>
      </c>
    </row>
  </sheetData>
  <mergeCells count="108">
    <mergeCell ref="C110:D110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78:D78"/>
    <mergeCell ref="C53:D53"/>
    <mergeCell ref="C54:D54"/>
    <mergeCell ref="C55:D55"/>
    <mergeCell ref="C56:D56"/>
    <mergeCell ref="A144:D144"/>
    <mergeCell ref="C88:D88"/>
    <mergeCell ref="C89:D89"/>
    <mergeCell ref="A90:D90"/>
    <mergeCell ref="C98:D98"/>
    <mergeCell ref="C99:D99"/>
    <mergeCell ref="A139:D139"/>
    <mergeCell ref="C142:D142"/>
    <mergeCell ref="C143:D143"/>
    <mergeCell ref="C100:D100"/>
    <mergeCell ref="C101:D101"/>
    <mergeCell ref="C102:D102"/>
    <mergeCell ref="C103:D103"/>
    <mergeCell ref="C105:D105"/>
    <mergeCell ref="C106:D106"/>
    <mergeCell ref="C107:D107"/>
    <mergeCell ref="C108:D108"/>
    <mergeCell ref="C114:D114"/>
    <mergeCell ref="C115:D115"/>
    <mergeCell ref="C116:D116"/>
    <mergeCell ref="C117:D117"/>
    <mergeCell ref="C118:D118"/>
    <mergeCell ref="C109:D109"/>
    <mergeCell ref="C111:D111"/>
    <mergeCell ref="C57:D57"/>
    <mergeCell ref="C58:D58"/>
    <mergeCell ref="C59:D59"/>
    <mergeCell ref="C60:D60"/>
    <mergeCell ref="C104:D104"/>
    <mergeCell ref="A85:D85"/>
    <mergeCell ref="C80:D80"/>
    <mergeCell ref="C81:D81"/>
    <mergeCell ref="C82:D82"/>
    <mergeCell ref="C83:D83"/>
    <mergeCell ref="C84:D84"/>
    <mergeCell ref="C79:D79"/>
    <mergeCell ref="A61:D61"/>
    <mergeCell ref="C64:D64"/>
    <mergeCell ref="C65:D65"/>
    <mergeCell ref="A66:D66"/>
    <mergeCell ref="C74:D74"/>
    <mergeCell ref="C75:D75"/>
    <mergeCell ref="C76:D76"/>
    <mergeCell ref="C77:D77"/>
    <mergeCell ref="C22:D22"/>
    <mergeCell ref="A1:I1"/>
    <mergeCell ref="A17:I17"/>
    <mergeCell ref="C19:D19"/>
    <mergeCell ref="C20:D20"/>
    <mergeCell ref="C21:D21"/>
    <mergeCell ref="C52:D52"/>
    <mergeCell ref="C23:D23"/>
    <mergeCell ref="C24:D24"/>
    <mergeCell ref="C25:D25"/>
    <mergeCell ref="C26:D26"/>
    <mergeCell ref="C27:D27"/>
    <mergeCell ref="C28:D28"/>
    <mergeCell ref="C47:D47"/>
    <mergeCell ref="C48:D48"/>
    <mergeCell ref="C49:D49"/>
    <mergeCell ref="C50:D50"/>
    <mergeCell ref="C51:D51"/>
    <mergeCell ref="C112:D112"/>
    <mergeCell ref="C113:D113"/>
    <mergeCell ref="C124:D124"/>
    <mergeCell ref="C125:D125"/>
    <mergeCell ref="C126:D126"/>
    <mergeCell ref="C127:D127"/>
    <mergeCell ref="C128:D128"/>
    <mergeCell ref="C119:D119"/>
    <mergeCell ref="C120:D120"/>
    <mergeCell ref="C121:D121"/>
    <mergeCell ref="C122:D122"/>
    <mergeCell ref="C123:D123"/>
    <mergeCell ref="C134:D134"/>
    <mergeCell ref="C135:D135"/>
    <mergeCell ref="C136:D136"/>
    <mergeCell ref="C137:D137"/>
    <mergeCell ref="C138:D138"/>
    <mergeCell ref="C129:D129"/>
    <mergeCell ref="C130:D130"/>
    <mergeCell ref="C131:D131"/>
    <mergeCell ref="C132:D132"/>
    <mergeCell ref="C133:D133"/>
  </mergeCells>
  <phoneticPr fontId="7" type="noConversion"/>
  <pageMargins left="0" right="0" top="0" bottom="0" header="0" footer="0"/>
  <pageSetup paperSize="346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5253-B311-49BA-A920-99639D98189C}">
  <sheetPr>
    <tabColor rgb="FF00B050"/>
  </sheetPr>
  <dimension ref="A1:N145"/>
  <sheetViews>
    <sheetView showGridLines="0" topLeftCell="A58" workbookViewId="0">
      <selection activeCell="M16" sqref="M16"/>
    </sheetView>
  </sheetViews>
  <sheetFormatPr defaultRowHeight="15" x14ac:dyDescent="0.25"/>
  <cols>
    <col min="1" max="1" width="12" customWidth="1"/>
    <col min="2" max="2" width="15" customWidth="1"/>
    <col min="3" max="3" width="9.7109375" customWidth="1"/>
    <col min="4" max="4" width="9.140625" customWidth="1"/>
    <col min="5" max="5" width="10.28515625" style="3" customWidth="1"/>
    <col min="6" max="6" width="9.5703125" customWidth="1"/>
    <col min="7" max="7" width="10.28515625" customWidth="1"/>
    <col min="8" max="8" width="14.42578125" customWidth="1"/>
    <col min="9" max="9" width="13.42578125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46205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107</v>
      </c>
      <c r="C7" s="4">
        <v>23</v>
      </c>
      <c r="D7" s="4" t="s">
        <v>22</v>
      </c>
      <c r="E7" s="15">
        <v>1055.5999999999999</v>
      </c>
      <c r="F7" s="15">
        <f>G43</f>
        <v>35.199999999999989</v>
      </c>
      <c r="G7" s="15">
        <f>E7-F7</f>
        <v>1020.3999999999999</v>
      </c>
      <c r="H7" s="6">
        <v>46190</v>
      </c>
      <c r="I7" s="6" t="s">
        <v>20</v>
      </c>
    </row>
    <row r="8" spans="1:12" x14ac:dyDescent="0.25">
      <c r="A8" s="5" t="s">
        <v>1</v>
      </c>
      <c r="B8" s="5" t="s">
        <v>77</v>
      </c>
      <c r="C8" s="4">
        <v>11</v>
      </c>
      <c r="D8" s="4" t="s">
        <v>22</v>
      </c>
      <c r="E8" s="15">
        <v>541.6</v>
      </c>
      <c r="F8" s="15">
        <f>G68</f>
        <v>13.5</v>
      </c>
      <c r="G8" s="15">
        <f t="shared" ref="G8:G11" si="0">E8-F8</f>
        <v>528.1</v>
      </c>
      <c r="H8" s="6">
        <v>46190</v>
      </c>
      <c r="I8" s="6" t="s">
        <v>20</v>
      </c>
    </row>
    <row r="9" spans="1:12" x14ac:dyDescent="0.25">
      <c r="A9" s="5" t="s">
        <v>1</v>
      </c>
      <c r="B9" s="5" t="s">
        <v>108</v>
      </c>
      <c r="C9" s="4">
        <v>11</v>
      </c>
      <c r="D9" s="4" t="s">
        <v>22</v>
      </c>
      <c r="E9" s="15">
        <v>545.70000000000005</v>
      </c>
      <c r="F9" s="15">
        <f>G92</f>
        <v>18.900000000000002</v>
      </c>
      <c r="G9" s="15">
        <f t="shared" si="0"/>
        <v>526.80000000000007</v>
      </c>
      <c r="H9" s="6">
        <v>46190</v>
      </c>
      <c r="I9" s="6" t="s">
        <v>20</v>
      </c>
    </row>
    <row r="10" spans="1:12" x14ac:dyDescent="0.25">
      <c r="A10" s="5" t="s">
        <v>1</v>
      </c>
      <c r="B10" s="5" t="s">
        <v>62</v>
      </c>
      <c r="C10" s="4">
        <v>4</v>
      </c>
      <c r="D10" s="4" t="s">
        <v>14</v>
      </c>
      <c r="E10" s="15">
        <v>463.6</v>
      </c>
      <c r="F10" s="15">
        <f>G109</f>
        <v>55.5</v>
      </c>
      <c r="G10" s="15">
        <f t="shared" si="0"/>
        <v>408.1</v>
      </c>
      <c r="H10" s="6">
        <v>46190</v>
      </c>
      <c r="I10" s="6" t="s">
        <v>20</v>
      </c>
    </row>
    <row r="11" spans="1:12" x14ac:dyDescent="0.25">
      <c r="A11" s="5" t="s">
        <v>1</v>
      </c>
      <c r="B11" s="5" t="s">
        <v>83</v>
      </c>
      <c r="C11" s="4">
        <v>13</v>
      </c>
      <c r="D11" s="4" t="s">
        <v>22</v>
      </c>
      <c r="E11" s="15">
        <v>540.70000000000005</v>
      </c>
      <c r="F11" s="15">
        <f>G135</f>
        <v>17.900000000000002</v>
      </c>
      <c r="G11" s="15">
        <f t="shared" si="0"/>
        <v>522.80000000000007</v>
      </c>
      <c r="H11" s="6">
        <v>46190</v>
      </c>
      <c r="I11" s="6" t="s">
        <v>20</v>
      </c>
    </row>
    <row r="12" spans="1:12" ht="4.5" customHeight="1" x14ac:dyDescent="0.25"/>
    <row r="13" spans="1:12" x14ac:dyDescent="0.25">
      <c r="A13" s="19" t="s">
        <v>16</v>
      </c>
    </row>
    <row r="14" spans="1:12" ht="9.9499999999999993" customHeight="1" x14ac:dyDescent="0.25">
      <c r="A14" s="7" t="s">
        <v>98</v>
      </c>
    </row>
    <row r="15" spans="1:12" ht="9.9499999999999993" customHeight="1" x14ac:dyDescent="0.25">
      <c r="A15" s="7" t="s">
        <v>17</v>
      </c>
    </row>
    <row r="16" spans="1:12" ht="5.25" customHeight="1" x14ac:dyDescent="0.25"/>
    <row r="17" spans="1:9" x14ac:dyDescent="0.25">
      <c r="A17" s="72" t="s">
        <v>28</v>
      </c>
      <c r="B17" s="72"/>
      <c r="C17" s="72"/>
      <c r="D17" s="72"/>
      <c r="E17" s="72"/>
      <c r="F17" s="72"/>
      <c r="G17" s="72"/>
      <c r="H17" s="72"/>
      <c r="I17" s="72"/>
    </row>
    <row r="18" spans="1:9" ht="23.25" customHeight="1" thickBot="1" x14ac:dyDescent="0.3">
      <c r="A18" s="1" t="s">
        <v>53</v>
      </c>
      <c r="B18" s="1" t="s">
        <v>89</v>
      </c>
      <c r="C18" s="1"/>
    </row>
    <row r="19" spans="1:9" ht="16.5" thickTop="1" thickBot="1" x14ac:dyDescent="0.3">
      <c r="A19" s="9" t="s">
        <v>7</v>
      </c>
      <c r="B19" s="9" t="s">
        <v>2</v>
      </c>
      <c r="C19" s="73" t="s">
        <v>6</v>
      </c>
      <c r="D19" s="73"/>
      <c r="E19" s="10" t="s">
        <v>25</v>
      </c>
      <c r="F19" s="10" t="s">
        <v>3</v>
      </c>
      <c r="G19" s="10" t="s">
        <v>4</v>
      </c>
      <c r="H19" s="10" t="s">
        <v>5</v>
      </c>
      <c r="I19" s="11" t="s">
        <v>26</v>
      </c>
    </row>
    <row r="20" spans="1:9" ht="15.75" thickTop="1" x14ac:dyDescent="0.25">
      <c r="A20" t="s">
        <v>23</v>
      </c>
      <c r="B20" t="s">
        <v>41</v>
      </c>
      <c r="C20" s="74" t="s">
        <v>22</v>
      </c>
      <c r="D20" s="74"/>
      <c r="E20" s="3">
        <v>1</v>
      </c>
      <c r="F20" s="15">
        <v>49.1</v>
      </c>
      <c r="G20" s="15">
        <v>1.4</v>
      </c>
      <c r="H20" s="15">
        <f>F20-G20</f>
        <v>47.7</v>
      </c>
      <c r="I20" s="4" t="s">
        <v>20</v>
      </c>
    </row>
    <row r="21" spans="1:9" x14ac:dyDescent="0.25">
      <c r="A21" t="s">
        <v>23</v>
      </c>
      <c r="B21" t="s">
        <v>41</v>
      </c>
      <c r="C21" s="70" t="s">
        <v>22</v>
      </c>
      <c r="D21" s="70"/>
      <c r="E21" s="3">
        <f>E20+1</f>
        <v>2</v>
      </c>
      <c r="F21" s="15">
        <v>42.7</v>
      </c>
      <c r="G21" s="15">
        <v>1.3</v>
      </c>
      <c r="H21" s="15">
        <f t="shared" ref="H21:H42" si="1">F21-G21</f>
        <v>41.400000000000006</v>
      </c>
      <c r="I21" s="4" t="s">
        <v>20</v>
      </c>
    </row>
    <row r="22" spans="1:9" x14ac:dyDescent="0.25">
      <c r="A22" t="s">
        <v>23</v>
      </c>
      <c r="B22" t="s">
        <v>41</v>
      </c>
      <c r="C22" s="70" t="s">
        <v>22</v>
      </c>
      <c r="D22" s="70"/>
      <c r="E22" s="3">
        <f t="shared" ref="E22:E42" si="2">E21+1</f>
        <v>3</v>
      </c>
      <c r="F22" s="15">
        <v>40.6</v>
      </c>
      <c r="G22" s="15">
        <v>1.8</v>
      </c>
      <c r="H22" s="15">
        <f t="shared" si="1"/>
        <v>38.800000000000004</v>
      </c>
      <c r="I22" s="4" t="s">
        <v>20</v>
      </c>
    </row>
    <row r="23" spans="1:9" x14ac:dyDescent="0.25">
      <c r="A23" t="s">
        <v>23</v>
      </c>
      <c r="B23" t="s">
        <v>41</v>
      </c>
      <c r="C23" s="70" t="s">
        <v>22</v>
      </c>
      <c r="D23" s="70"/>
      <c r="E23" s="3">
        <f t="shared" si="2"/>
        <v>4</v>
      </c>
      <c r="F23" s="15">
        <v>47.5</v>
      </c>
      <c r="G23" s="15">
        <v>1.4</v>
      </c>
      <c r="H23" s="15">
        <f t="shared" si="1"/>
        <v>46.1</v>
      </c>
      <c r="I23" s="4" t="s">
        <v>20</v>
      </c>
    </row>
    <row r="24" spans="1:9" x14ac:dyDescent="0.25">
      <c r="A24" t="s">
        <v>23</v>
      </c>
      <c r="B24" t="s">
        <v>41</v>
      </c>
      <c r="C24" s="70" t="s">
        <v>22</v>
      </c>
      <c r="D24" s="70"/>
      <c r="E24" s="3">
        <f t="shared" si="2"/>
        <v>5</v>
      </c>
      <c r="F24" s="15">
        <v>47.7</v>
      </c>
      <c r="G24" s="15">
        <v>2.1</v>
      </c>
      <c r="H24" s="15">
        <f t="shared" si="1"/>
        <v>45.6</v>
      </c>
      <c r="I24" s="4" t="s">
        <v>20</v>
      </c>
    </row>
    <row r="25" spans="1:9" x14ac:dyDescent="0.25">
      <c r="A25" t="s">
        <v>23</v>
      </c>
      <c r="B25" t="s">
        <v>41</v>
      </c>
      <c r="C25" s="70" t="s">
        <v>22</v>
      </c>
      <c r="D25" s="70"/>
      <c r="E25" s="3">
        <f t="shared" si="2"/>
        <v>6</v>
      </c>
      <c r="F25" s="15">
        <v>47.4</v>
      </c>
      <c r="G25" s="15">
        <v>1.4</v>
      </c>
      <c r="H25" s="15">
        <f t="shared" si="1"/>
        <v>46</v>
      </c>
      <c r="I25" s="4" t="s">
        <v>20</v>
      </c>
    </row>
    <row r="26" spans="1:9" x14ac:dyDescent="0.25">
      <c r="A26" t="s">
        <v>23</v>
      </c>
      <c r="B26" t="s">
        <v>41</v>
      </c>
      <c r="C26" s="70" t="s">
        <v>22</v>
      </c>
      <c r="D26" s="70"/>
      <c r="E26" s="3">
        <f t="shared" si="2"/>
        <v>7</v>
      </c>
      <c r="F26" s="15">
        <v>53.9</v>
      </c>
      <c r="G26" s="15">
        <v>1.3</v>
      </c>
      <c r="H26" s="15">
        <f t="shared" si="1"/>
        <v>52.6</v>
      </c>
      <c r="I26" s="4" t="s">
        <v>20</v>
      </c>
    </row>
    <row r="27" spans="1:9" x14ac:dyDescent="0.25">
      <c r="A27" t="s">
        <v>23</v>
      </c>
      <c r="B27" t="s">
        <v>41</v>
      </c>
      <c r="C27" s="70" t="s">
        <v>22</v>
      </c>
      <c r="D27" s="70"/>
      <c r="E27" s="3">
        <f t="shared" si="2"/>
        <v>8</v>
      </c>
      <c r="F27" s="15">
        <v>48.8</v>
      </c>
      <c r="G27" s="15">
        <v>1.7</v>
      </c>
      <c r="H27" s="15">
        <f t="shared" si="1"/>
        <v>47.099999999999994</v>
      </c>
      <c r="I27" s="4" t="s">
        <v>20</v>
      </c>
    </row>
    <row r="28" spans="1:9" x14ac:dyDescent="0.25">
      <c r="A28" t="s">
        <v>23</v>
      </c>
      <c r="B28" t="s">
        <v>41</v>
      </c>
      <c r="C28" s="70" t="s">
        <v>22</v>
      </c>
      <c r="D28" s="70"/>
      <c r="E28" s="3">
        <f t="shared" si="2"/>
        <v>9</v>
      </c>
      <c r="F28" s="15">
        <v>45.1</v>
      </c>
      <c r="G28" s="15">
        <v>1.3</v>
      </c>
      <c r="H28" s="15">
        <f t="shared" si="1"/>
        <v>43.800000000000004</v>
      </c>
      <c r="I28" s="4" t="s">
        <v>20</v>
      </c>
    </row>
    <row r="29" spans="1:9" x14ac:dyDescent="0.25">
      <c r="A29" t="s">
        <v>23</v>
      </c>
      <c r="B29" t="s">
        <v>41</v>
      </c>
      <c r="C29" s="70" t="s">
        <v>22</v>
      </c>
      <c r="D29" s="70"/>
      <c r="E29" s="3">
        <f t="shared" si="2"/>
        <v>10</v>
      </c>
      <c r="F29" s="15">
        <v>37.200000000000003</v>
      </c>
      <c r="G29" s="15">
        <v>1.4</v>
      </c>
      <c r="H29" s="15">
        <f t="shared" si="1"/>
        <v>35.800000000000004</v>
      </c>
      <c r="I29" s="4" t="s">
        <v>20</v>
      </c>
    </row>
    <row r="30" spans="1:9" x14ac:dyDescent="0.25">
      <c r="A30" t="s">
        <v>23</v>
      </c>
      <c r="B30" t="s">
        <v>41</v>
      </c>
      <c r="C30" s="70" t="s">
        <v>22</v>
      </c>
      <c r="D30" s="70"/>
      <c r="E30" s="3">
        <f t="shared" si="2"/>
        <v>11</v>
      </c>
      <c r="F30" s="15">
        <v>42.1</v>
      </c>
      <c r="G30" s="15">
        <v>1.4</v>
      </c>
      <c r="H30" s="15">
        <f t="shared" si="1"/>
        <v>40.700000000000003</v>
      </c>
      <c r="I30" s="4" t="s">
        <v>20</v>
      </c>
    </row>
    <row r="31" spans="1:9" x14ac:dyDescent="0.25">
      <c r="A31" t="s">
        <v>23</v>
      </c>
      <c r="B31" t="s">
        <v>41</v>
      </c>
      <c r="C31" s="70" t="s">
        <v>22</v>
      </c>
      <c r="D31" s="70"/>
      <c r="E31" s="3">
        <f t="shared" si="2"/>
        <v>12</v>
      </c>
      <c r="F31" s="15">
        <v>49.1</v>
      </c>
      <c r="G31" s="15">
        <v>1.5</v>
      </c>
      <c r="H31" s="15">
        <f t="shared" si="1"/>
        <v>47.6</v>
      </c>
      <c r="I31" s="4" t="s">
        <v>20</v>
      </c>
    </row>
    <row r="32" spans="1:9" x14ac:dyDescent="0.25">
      <c r="A32" t="s">
        <v>23</v>
      </c>
      <c r="B32" t="s">
        <v>41</v>
      </c>
      <c r="C32" s="70" t="s">
        <v>22</v>
      </c>
      <c r="D32" s="70"/>
      <c r="E32" s="3">
        <f t="shared" si="2"/>
        <v>13</v>
      </c>
      <c r="F32" s="15">
        <v>45.5</v>
      </c>
      <c r="G32" s="15">
        <v>1.5</v>
      </c>
      <c r="H32" s="15">
        <f t="shared" si="1"/>
        <v>44</v>
      </c>
      <c r="I32" s="4" t="s">
        <v>20</v>
      </c>
    </row>
    <row r="33" spans="1:9" x14ac:dyDescent="0.25">
      <c r="A33" t="s">
        <v>23</v>
      </c>
      <c r="B33" t="s">
        <v>41</v>
      </c>
      <c r="C33" s="70" t="s">
        <v>22</v>
      </c>
      <c r="D33" s="70"/>
      <c r="E33" s="3">
        <f t="shared" si="2"/>
        <v>14</v>
      </c>
      <c r="F33" s="15">
        <v>44.4</v>
      </c>
      <c r="G33" s="15">
        <v>1.4</v>
      </c>
      <c r="H33" s="15">
        <f t="shared" si="1"/>
        <v>43</v>
      </c>
      <c r="I33" s="4" t="s">
        <v>20</v>
      </c>
    </row>
    <row r="34" spans="1:9" x14ac:dyDescent="0.25">
      <c r="A34" t="s">
        <v>23</v>
      </c>
      <c r="B34" t="s">
        <v>41</v>
      </c>
      <c r="C34" s="70" t="s">
        <v>22</v>
      </c>
      <c r="D34" s="70"/>
      <c r="E34" s="3">
        <f t="shared" si="2"/>
        <v>15</v>
      </c>
      <c r="F34" s="15">
        <v>47.4</v>
      </c>
      <c r="G34" s="15">
        <v>1.5</v>
      </c>
      <c r="H34" s="15">
        <f t="shared" si="1"/>
        <v>45.9</v>
      </c>
      <c r="I34" s="4" t="s">
        <v>20</v>
      </c>
    </row>
    <row r="35" spans="1:9" x14ac:dyDescent="0.25">
      <c r="A35" t="s">
        <v>23</v>
      </c>
      <c r="B35" t="s">
        <v>41</v>
      </c>
      <c r="C35" s="70" t="s">
        <v>22</v>
      </c>
      <c r="D35" s="70"/>
      <c r="E35" s="3">
        <f t="shared" si="2"/>
        <v>16</v>
      </c>
      <c r="F35" s="15">
        <v>48.3</v>
      </c>
      <c r="G35" s="15">
        <v>1.9</v>
      </c>
      <c r="H35" s="15">
        <f t="shared" si="1"/>
        <v>46.4</v>
      </c>
      <c r="I35" s="4" t="s">
        <v>20</v>
      </c>
    </row>
    <row r="36" spans="1:9" x14ac:dyDescent="0.25">
      <c r="A36" t="s">
        <v>23</v>
      </c>
      <c r="B36" t="s">
        <v>41</v>
      </c>
      <c r="C36" s="70" t="s">
        <v>22</v>
      </c>
      <c r="D36" s="70"/>
      <c r="E36" s="3">
        <f t="shared" si="2"/>
        <v>17</v>
      </c>
      <c r="F36" s="15">
        <v>47.3</v>
      </c>
      <c r="G36" s="15">
        <v>1.4</v>
      </c>
      <c r="H36" s="15">
        <f t="shared" si="1"/>
        <v>45.9</v>
      </c>
      <c r="I36" s="4" t="s">
        <v>20</v>
      </c>
    </row>
    <row r="37" spans="1:9" x14ac:dyDescent="0.25">
      <c r="A37" t="s">
        <v>23</v>
      </c>
      <c r="B37" t="s">
        <v>41</v>
      </c>
      <c r="C37" s="70" t="s">
        <v>22</v>
      </c>
      <c r="D37" s="70"/>
      <c r="E37" s="3">
        <f t="shared" si="2"/>
        <v>18</v>
      </c>
      <c r="F37" s="15">
        <v>43.4</v>
      </c>
      <c r="G37" s="15">
        <v>1.5</v>
      </c>
      <c r="H37" s="15">
        <f t="shared" si="1"/>
        <v>41.9</v>
      </c>
      <c r="I37" s="4" t="s">
        <v>20</v>
      </c>
    </row>
    <row r="38" spans="1:9" x14ac:dyDescent="0.25">
      <c r="A38" t="s">
        <v>23</v>
      </c>
      <c r="B38" t="s">
        <v>41</v>
      </c>
      <c r="C38" s="70" t="s">
        <v>22</v>
      </c>
      <c r="D38" s="70"/>
      <c r="E38" s="3">
        <f t="shared" si="2"/>
        <v>19</v>
      </c>
      <c r="F38" s="15">
        <v>47.6</v>
      </c>
      <c r="G38" s="15">
        <v>1.5</v>
      </c>
      <c r="H38" s="15">
        <f t="shared" si="1"/>
        <v>46.1</v>
      </c>
      <c r="I38" s="4" t="s">
        <v>20</v>
      </c>
    </row>
    <row r="39" spans="1:9" x14ac:dyDescent="0.25">
      <c r="A39" t="s">
        <v>23</v>
      </c>
      <c r="B39" t="s">
        <v>41</v>
      </c>
      <c r="C39" s="70" t="s">
        <v>22</v>
      </c>
      <c r="D39" s="70"/>
      <c r="E39" s="3">
        <f t="shared" si="2"/>
        <v>20</v>
      </c>
      <c r="F39" s="15">
        <v>52.9</v>
      </c>
      <c r="G39" s="15">
        <v>1.5</v>
      </c>
      <c r="H39" s="15">
        <f t="shared" si="1"/>
        <v>51.4</v>
      </c>
      <c r="I39" s="4" t="s">
        <v>20</v>
      </c>
    </row>
    <row r="40" spans="1:9" x14ac:dyDescent="0.25">
      <c r="A40" t="s">
        <v>23</v>
      </c>
      <c r="B40" t="s">
        <v>41</v>
      </c>
      <c r="C40" s="70" t="s">
        <v>22</v>
      </c>
      <c r="D40" s="70"/>
      <c r="E40" s="3">
        <f t="shared" si="2"/>
        <v>21</v>
      </c>
      <c r="F40" s="15">
        <v>52.6</v>
      </c>
      <c r="G40" s="15">
        <v>1.4</v>
      </c>
      <c r="H40" s="15">
        <f t="shared" si="1"/>
        <v>51.2</v>
      </c>
      <c r="I40" s="4" t="s">
        <v>20</v>
      </c>
    </row>
    <row r="41" spans="1:9" x14ac:dyDescent="0.25">
      <c r="A41" t="s">
        <v>23</v>
      </c>
      <c r="B41" t="s">
        <v>41</v>
      </c>
      <c r="C41" s="70" t="s">
        <v>22</v>
      </c>
      <c r="D41" s="70"/>
      <c r="E41" s="3">
        <f t="shared" si="2"/>
        <v>22</v>
      </c>
      <c r="F41" s="15">
        <v>52.7</v>
      </c>
      <c r="G41" s="15">
        <v>1.8</v>
      </c>
      <c r="H41" s="15">
        <f t="shared" si="1"/>
        <v>50.900000000000006</v>
      </c>
      <c r="I41" s="4" t="s">
        <v>20</v>
      </c>
    </row>
    <row r="42" spans="1:9" ht="15.75" thickBot="1" x14ac:dyDescent="0.3">
      <c r="A42" t="s">
        <v>23</v>
      </c>
      <c r="B42" t="s">
        <v>41</v>
      </c>
      <c r="C42" s="70" t="s">
        <v>22</v>
      </c>
      <c r="D42" s="70"/>
      <c r="E42" s="3">
        <f t="shared" si="2"/>
        <v>23</v>
      </c>
      <c r="F42" s="15">
        <v>52.5</v>
      </c>
      <c r="G42" s="15">
        <v>1.8</v>
      </c>
      <c r="H42" s="15">
        <f t="shared" si="1"/>
        <v>50.7</v>
      </c>
      <c r="I42" s="4" t="s">
        <v>20</v>
      </c>
    </row>
    <row r="43" spans="1:9" ht="16.5" thickTop="1" thickBot="1" x14ac:dyDescent="0.3">
      <c r="A43" s="75" t="s">
        <v>27</v>
      </c>
      <c r="B43" s="75"/>
      <c r="C43" s="75"/>
      <c r="D43" s="75"/>
      <c r="E43" s="12">
        <f>E42</f>
        <v>23</v>
      </c>
      <c r="F43" s="14">
        <f>SUM(F20:F42)</f>
        <v>1085.8</v>
      </c>
      <c r="G43" s="14">
        <f>SUM(G20:G42)</f>
        <v>35.199999999999989</v>
      </c>
      <c r="H43" s="14">
        <f>SUM(H20:H42)</f>
        <v>1050.5999999999999</v>
      </c>
      <c r="I43" s="13"/>
    </row>
    <row r="44" spans="1:9" ht="6.75" customHeight="1" thickTop="1" x14ac:dyDescent="0.25"/>
    <row r="45" spans="1:9" ht="15.75" thickBot="1" x14ac:dyDescent="0.3">
      <c r="A45" s="1" t="s">
        <v>29</v>
      </c>
    </row>
    <row r="46" spans="1:9" ht="30" customHeight="1" thickTop="1" thickBot="1" x14ac:dyDescent="0.3">
      <c r="A46" s="9" t="s">
        <v>7</v>
      </c>
      <c r="B46" s="9" t="s">
        <v>2</v>
      </c>
      <c r="C46" s="73" t="s">
        <v>6</v>
      </c>
      <c r="D46" s="73"/>
      <c r="E46" s="11" t="s">
        <v>30</v>
      </c>
      <c r="F46" s="11" t="s">
        <v>31</v>
      </c>
      <c r="G46" s="11" t="s">
        <v>32</v>
      </c>
      <c r="H46" s="11" t="s">
        <v>33</v>
      </c>
      <c r="I46" s="11" t="s">
        <v>37</v>
      </c>
    </row>
    <row r="47" spans="1:9" ht="16.5" thickTop="1" thickBot="1" x14ac:dyDescent="0.3">
      <c r="A47" t="s">
        <v>23</v>
      </c>
      <c r="B47" t="str">
        <f>B42</f>
        <v>LOMBOK '24</v>
      </c>
      <c r="C47" s="76" t="s">
        <v>22</v>
      </c>
      <c r="D47" s="76"/>
      <c r="E47" s="15">
        <v>758.3</v>
      </c>
      <c r="F47" s="15">
        <v>263.60000000000002</v>
      </c>
      <c r="G47" s="15">
        <v>15.4</v>
      </c>
      <c r="H47" s="15">
        <f>IF(E47="","",(H43-E47-F47-G47))</f>
        <v>13.299999999999931</v>
      </c>
      <c r="I47" s="15">
        <f>IF(E47="","",SUM(E47:H47))</f>
        <v>1050.5999999999999</v>
      </c>
    </row>
    <row r="48" spans="1:9" ht="16.5" thickTop="1" thickBot="1" x14ac:dyDescent="0.3">
      <c r="A48" s="77" t="s">
        <v>52</v>
      </c>
      <c r="B48" s="77"/>
      <c r="C48" s="77"/>
      <c r="D48" s="77"/>
      <c r="E48" s="20">
        <f>IF(E47="","",E47/$H43)</f>
        <v>0.72177803160098997</v>
      </c>
      <c r="F48" s="54">
        <f>IF(F47="","",F47/$H43)</f>
        <v>0.25090424519322296</v>
      </c>
      <c r="G48" s="54">
        <f t="shared" ref="G48:H48" si="3">IF(G47="","",G47/$H43)</f>
        <v>1.4658290500666287E-2</v>
      </c>
      <c r="H48" s="54">
        <f t="shared" si="3"/>
        <v>1.2659432705120819E-2</v>
      </c>
      <c r="I48" s="17">
        <f>IF(I47="","",SUM(E48:H48))</f>
        <v>1</v>
      </c>
    </row>
    <row r="49" spans="1:9" ht="15.75" thickTop="1" x14ac:dyDescent="0.25">
      <c r="A49" s="19" t="s">
        <v>16</v>
      </c>
    </row>
    <row r="50" spans="1:9" ht="9.9499999999999993" customHeight="1" x14ac:dyDescent="0.25">
      <c r="A50" s="7" t="s">
        <v>36</v>
      </c>
    </row>
    <row r="51" spans="1:9" ht="9.9499999999999993" customHeight="1" x14ac:dyDescent="0.25">
      <c r="A51" s="7" t="s">
        <v>35</v>
      </c>
    </row>
    <row r="52" spans="1:9" ht="9.9499999999999993" customHeight="1" x14ac:dyDescent="0.25">
      <c r="A52" s="7" t="s">
        <v>34</v>
      </c>
    </row>
    <row r="53" spans="1:9" ht="9.9499999999999993" customHeight="1" x14ac:dyDescent="0.25">
      <c r="A53" s="7" t="s">
        <v>50</v>
      </c>
    </row>
    <row r="54" spans="1:9" ht="6" customHeight="1" x14ac:dyDescent="0.25"/>
    <row r="55" spans="1:9" ht="15.75" thickBot="1" x14ac:dyDescent="0.3">
      <c r="A55" s="1" t="s">
        <v>54</v>
      </c>
      <c r="B55" s="1" t="s">
        <v>79</v>
      </c>
      <c r="C55" s="1"/>
    </row>
    <row r="56" spans="1:9" ht="16.5" thickTop="1" thickBot="1" x14ac:dyDescent="0.3">
      <c r="A56" s="9" t="s">
        <v>7</v>
      </c>
      <c r="B56" s="9" t="s">
        <v>2</v>
      </c>
      <c r="C56" s="73" t="s">
        <v>6</v>
      </c>
      <c r="D56" s="73"/>
      <c r="E56" s="10" t="s">
        <v>25</v>
      </c>
      <c r="F56" s="10" t="s">
        <v>3</v>
      </c>
      <c r="G56" s="10" t="s">
        <v>4</v>
      </c>
      <c r="H56" s="10" t="s">
        <v>5</v>
      </c>
      <c r="I56" s="11" t="s">
        <v>26</v>
      </c>
    </row>
    <row r="57" spans="1:9" ht="15.75" thickTop="1" x14ac:dyDescent="0.25">
      <c r="A57" t="s">
        <v>23</v>
      </c>
      <c r="B57" t="s">
        <v>77</v>
      </c>
      <c r="C57" s="74" t="s">
        <v>22</v>
      </c>
      <c r="D57" s="74"/>
      <c r="E57" s="3">
        <v>1</v>
      </c>
      <c r="F57" s="15">
        <v>45</v>
      </c>
      <c r="G57" s="15">
        <v>1.7</v>
      </c>
      <c r="H57" s="15">
        <f>F57-G57</f>
        <v>43.3</v>
      </c>
      <c r="I57" s="4" t="s">
        <v>20</v>
      </c>
    </row>
    <row r="58" spans="1:9" x14ac:dyDescent="0.25">
      <c r="A58" t="s">
        <v>23</v>
      </c>
      <c r="B58" t="s">
        <v>77</v>
      </c>
      <c r="C58" s="70" t="s">
        <v>22</v>
      </c>
      <c r="D58" s="70"/>
      <c r="E58" s="3">
        <f>E57+1</f>
        <v>2</v>
      </c>
      <c r="F58" s="15">
        <v>49.1</v>
      </c>
      <c r="G58" s="15">
        <v>1.4</v>
      </c>
      <c r="H58" s="15">
        <f t="shared" ref="H58:H67" si="4">F58-G58</f>
        <v>47.7</v>
      </c>
      <c r="I58" s="4" t="s">
        <v>20</v>
      </c>
    </row>
    <row r="59" spans="1:9" x14ac:dyDescent="0.25">
      <c r="A59" t="s">
        <v>23</v>
      </c>
      <c r="B59" t="s">
        <v>77</v>
      </c>
      <c r="C59" s="70" t="s">
        <v>22</v>
      </c>
      <c r="D59" s="70"/>
      <c r="E59" s="3">
        <f t="shared" ref="E59:E67" si="5">E58+1</f>
        <v>3</v>
      </c>
      <c r="F59" s="15">
        <v>51.8</v>
      </c>
      <c r="G59" s="15">
        <v>1.2</v>
      </c>
      <c r="H59" s="15">
        <f t="shared" si="4"/>
        <v>50.599999999999994</v>
      </c>
      <c r="I59" s="4" t="s">
        <v>20</v>
      </c>
    </row>
    <row r="60" spans="1:9" x14ac:dyDescent="0.25">
      <c r="A60" t="s">
        <v>23</v>
      </c>
      <c r="B60" t="s">
        <v>77</v>
      </c>
      <c r="C60" s="70" t="s">
        <v>22</v>
      </c>
      <c r="D60" s="70"/>
      <c r="E60" s="3">
        <f t="shared" si="5"/>
        <v>4</v>
      </c>
      <c r="F60" s="15">
        <v>49.2</v>
      </c>
      <c r="G60" s="15">
        <v>1.1000000000000001</v>
      </c>
      <c r="H60" s="15">
        <f t="shared" si="4"/>
        <v>48.1</v>
      </c>
      <c r="I60" s="4" t="s">
        <v>20</v>
      </c>
    </row>
    <row r="61" spans="1:9" x14ac:dyDescent="0.25">
      <c r="A61" t="s">
        <v>23</v>
      </c>
      <c r="B61" t="s">
        <v>77</v>
      </c>
      <c r="C61" s="70" t="s">
        <v>22</v>
      </c>
      <c r="D61" s="70"/>
      <c r="E61" s="3">
        <f t="shared" si="5"/>
        <v>5</v>
      </c>
      <c r="F61" s="15">
        <v>46.1</v>
      </c>
      <c r="G61" s="15">
        <v>1.1000000000000001</v>
      </c>
      <c r="H61" s="15">
        <f t="shared" si="4"/>
        <v>45</v>
      </c>
      <c r="I61" s="4" t="s">
        <v>20</v>
      </c>
    </row>
    <row r="62" spans="1:9" x14ac:dyDescent="0.25">
      <c r="A62" t="s">
        <v>23</v>
      </c>
      <c r="B62" t="s">
        <v>77</v>
      </c>
      <c r="C62" s="70" t="s">
        <v>22</v>
      </c>
      <c r="D62" s="70"/>
      <c r="E62" s="3">
        <f t="shared" si="5"/>
        <v>6</v>
      </c>
      <c r="F62" s="15">
        <v>48</v>
      </c>
      <c r="G62" s="15">
        <v>1.2</v>
      </c>
      <c r="H62" s="15">
        <f t="shared" si="4"/>
        <v>46.8</v>
      </c>
      <c r="I62" s="4" t="s">
        <v>20</v>
      </c>
    </row>
    <row r="63" spans="1:9" x14ac:dyDescent="0.25">
      <c r="A63" t="s">
        <v>23</v>
      </c>
      <c r="B63" t="s">
        <v>77</v>
      </c>
      <c r="C63" s="70" t="s">
        <v>22</v>
      </c>
      <c r="D63" s="70"/>
      <c r="E63" s="3">
        <f t="shared" si="5"/>
        <v>7</v>
      </c>
      <c r="F63" s="15">
        <v>52</v>
      </c>
      <c r="G63" s="15">
        <v>1.3</v>
      </c>
      <c r="H63" s="15">
        <f t="shared" si="4"/>
        <v>50.7</v>
      </c>
      <c r="I63" s="4" t="s">
        <v>20</v>
      </c>
    </row>
    <row r="64" spans="1:9" x14ac:dyDescent="0.25">
      <c r="A64" t="s">
        <v>23</v>
      </c>
      <c r="B64" t="s">
        <v>77</v>
      </c>
      <c r="C64" s="70" t="s">
        <v>22</v>
      </c>
      <c r="D64" s="70"/>
      <c r="E64" s="3">
        <f t="shared" si="5"/>
        <v>8</v>
      </c>
      <c r="F64" s="15">
        <v>50.2</v>
      </c>
      <c r="G64" s="15">
        <v>1</v>
      </c>
      <c r="H64" s="15">
        <f t="shared" si="4"/>
        <v>49.2</v>
      </c>
      <c r="I64" s="4" t="s">
        <v>20</v>
      </c>
    </row>
    <row r="65" spans="1:9" x14ac:dyDescent="0.25">
      <c r="A65" t="s">
        <v>23</v>
      </c>
      <c r="B65" t="s">
        <v>77</v>
      </c>
      <c r="C65" s="70" t="s">
        <v>22</v>
      </c>
      <c r="D65" s="70"/>
      <c r="E65" s="3">
        <f t="shared" si="5"/>
        <v>9</v>
      </c>
      <c r="F65" s="15">
        <v>50.5</v>
      </c>
      <c r="G65" s="15">
        <v>1</v>
      </c>
      <c r="H65" s="15">
        <f t="shared" si="4"/>
        <v>49.5</v>
      </c>
      <c r="I65" s="4" t="s">
        <v>20</v>
      </c>
    </row>
    <row r="66" spans="1:9" x14ac:dyDescent="0.25">
      <c r="A66" t="s">
        <v>23</v>
      </c>
      <c r="B66" t="s">
        <v>77</v>
      </c>
      <c r="C66" s="70" t="s">
        <v>22</v>
      </c>
      <c r="D66" s="70"/>
      <c r="E66" s="3">
        <f t="shared" si="5"/>
        <v>10</v>
      </c>
      <c r="F66" s="15">
        <v>50</v>
      </c>
      <c r="G66" s="15">
        <v>1.2</v>
      </c>
      <c r="H66" s="15">
        <f t="shared" si="4"/>
        <v>48.8</v>
      </c>
      <c r="I66" s="4" t="s">
        <v>20</v>
      </c>
    </row>
    <row r="67" spans="1:9" ht="15.75" thickBot="1" x14ac:dyDescent="0.3">
      <c r="A67" t="s">
        <v>23</v>
      </c>
      <c r="B67" t="s">
        <v>77</v>
      </c>
      <c r="C67" s="70" t="s">
        <v>22</v>
      </c>
      <c r="D67" s="70"/>
      <c r="E67" s="3">
        <f t="shared" si="5"/>
        <v>11</v>
      </c>
      <c r="F67" s="15">
        <v>50.6</v>
      </c>
      <c r="G67" s="15">
        <v>1.3</v>
      </c>
      <c r="H67" s="15">
        <f t="shared" si="4"/>
        <v>49.300000000000004</v>
      </c>
      <c r="I67" s="4" t="s">
        <v>20</v>
      </c>
    </row>
    <row r="68" spans="1:9" ht="16.5" thickTop="1" thickBot="1" x14ac:dyDescent="0.3">
      <c r="A68" s="75" t="s">
        <v>27</v>
      </c>
      <c r="B68" s="75"/>
      <c r="C68" s="75"/>
      <c r="D68" s="75"/>
      <c r="E68" s="12">
        <f>E67</f>
        <v>11</v>
      </c>
      <c r="F68" s="14">
        <f>SUM(F57:F67)</f>
        <v>542.49999999999989</v>
      </c>
      <c r="G68" s="14">
        <f>SUM(G57:G67)</f>
        <v>13.5</v>
      </c>
      <c r="H68" s="14">
        <f>SUM(H57:H67)</f>
        <v>529</v>
      </c>
      <c r="I68" s="13"/>
    </row>
    <row r="69" spans="1:9" ht="6" customHeight="1" thickTop="1" x14ac:dyDescent="0.25"/>
    <row r="70" spans="1:9" ht="15.75" thickBot="1" x14ac:dyDescent="0.3">
      <c r="A70" s="1" t="s">
        <v>29</v>
      </c>
    </row>
    <row r="71" spans="1:9" ht="33" customHeight="1" thickTop="1" thickBot="1" x14ac:dyDescent="0.3">
      <c r="A71" s="9" t="s">
        <v>7</v>
      </c>
      <c r="B71" s="9" t="s">
        <v>2</v>
      </c>
      <c r="C71" s="73" t="s">
        <v>6</v>
      </c>
      <c r="D71" s="73"/>
      <c r="E71" s="11" t="s">
        <v>30</v>
      </c>
      <c r="F71" s="11" t="s">
        <v>31</v>
      </c>
      <c r="G71" s="11" t="s">
        <v>32</v>
      </c>
      <c r="H71" s="11" t="s">
        <v>33</v>
      </c>
      <c r="I71" s="11" t="s">
        <v>37</v>
      </c>
    </row>
    <row r="72" spans="1:9" ht="16.5" thickTop="1" thickBot="1" x14ac:dyDescent="0.3">
      <c r="A72" t="s">
        <v>23</v>
      </c>
      <c r="B72" t="s">
        <v>81</v>
      </c>
      <c r="C72" s="80" t="s">
        <v>22</v>
      </c>
      <c r="D72" s="80"/>
      <c r="E72" s="15">
        <v>445.7</v>
      </c>
      <c r="F72" s="15">
        <v>75.099999999999994</v>
      </c>
      <c r="G72" s="15">
        <v>7.5</v>
      </c>
      <c r="H72" s="15">
        <f>IF(E72="","",(H68-E72-F72-G72))</f>
        <v>0.70000000000001705</v>
      </c>
      <c r="I72" s="15">
        <f>IF(E72="","",SUM(E72:H72))</f>
        <v>529</v>
      </c>
    </row>
    <row r="73" spans="1:9" ht="16.5" thickTop="1" thickBot="1" x14ac:dyDescent="0.3">
      <c r="A73" s="77" t="s">
        <v>52</v>
      </c>
      <c r="B73" s="77"/>
      <c r="C73" s="77"/>
      <c r="D73" s="77"/>
      <c r="E73" s="20">
        <f>IF(E72="","",E72/$H68)</f>
        <v>0.84253308128544424</v>
      </c>
      <c r="F73" s="54">
        <f>IF(F72="","",F72/$H68)</f>
        <v>0.14196597353497165</v>
      </c>
      <c r="G73" s="54">
        <f t="shared" ref="G73:H73" si="6">IF(G72="","",G72/$H68)</f>
        <v>1.4177693761814745E-2</v>
      </c>
      <c r="H73" s="54">
        <f t="shared" si="6"/>
        <v>1.3232514177694084E-3</v>
      </c>
      <c r="I73" s="17">
        <f>IF(I72="","",SUM(E73:H73))</f>
        <v>1</v>
      </c>
    </row>
    <row r="74" spans="1:9" ht="15.75" thickTop="1" x14ac:dyDescent="0.25">
      <c r="A74" s="19" t="s">
        <v>16</v>
      </c>
    </row>
    <row r="75" spans="1:9" ht="9.9499999999999993" customHeight="1" x14ac:dyDescent="0.25">
      <c r="A75" s="7" t="s">
        <v>36</v>
      </c>
    </row>
    <row r="76" spans="1:9" ht="9.9499999999999993" customHeight="1" x14ac:dyDescent="0.25">
      <c r="A76" s="7" t="s">
        <v>35</v>
      </c>
    </row>
    <row r="77" spans="1:9" ht="9.9499999999999993" customHeight="1" x14ac:dyDescent="0.25">
      <c r="A77" s="7" t="s">
        <v>34</v>
      </c>
    </row>
    <row r="78" spans="1:9" ht="9.9499999999999993" customHeight="1" x14ac:dyDescent="0.25">
      <c r="A78" s="7" t="s">
        <v>50</v>
      </c>
    </row>
    <row r="79" spans="1:9" ht="15.75" thickBot="1" x14ac:dyDescent="0.3">
      <c r="A79" s="1" t="s">
        <v>55</v>
      </c>
      <c r="B79" s="1" t="s">
        <v>87</v>
      </c>
      <c r="C79" s="1"/>
    </row>
    <row r="80" spans="1:9" ht="16.5" thickTop="1" thickBot="1" x14ac:dyDescent="0.3">
      <c r="A80" s="9" t="s">
        <v>7</v>
      </c>
      <c r="B80" s="9" t="s">
        <v>2</v>
      </c>
      <c r="C80" s="73" t="s">
        <v>6</v>
      </c>
      <c r="D80" s="73"/>
      <c r="E80" s="10" t="s">
        <v>25</v>
      </c>
      <c r="F80" s="10" t="s">
        <v>3</v>
      </c>
      <c r="G80" s="10" t="s">
        <v>4</v>
      </c>
      <c r="H80" s="10" t="s">
        <v>5</v>
      </c>
      <c r="I80" s="11" t="s">
        <v>26</v>
      </c>
    </row>
    <row r="81" spans="1:9" ht="15.75" thickTop="1" x14ac:dyDescent="0.25">
      <c r="A81" t="s">
        <v>23</v>
      </c>
      <c r="B81" t="s">
        <v>88</v>
      </c>
      <c r="C81" s="74" t="s">
        <v>22</v>
      </c>
      <c r="D81" s="74"/>
      <c r="E81" s="3">
        <v>1</v>
      </c>
      <c r="F81" s="15">
        <v>51</v>
      </c>
      <c r="G81" s="15">
        <v>1.7</v>
      </c>
      <c r="H81" s="15">
        <f>F81-G81</f>
        <v>49.3</v>
      </c>
      <c r="I81" s="4" t="s">
        <v>20</v>
      </c>
    </row>
    <row r="82" spans="1:9" x14ac:dyDescent="0.25">
      <c r="A82" t="s">
        <v>23</v>
      </c>
      <c r="B82" t="s">
        <v>88</v>
      </c>
      <c r="C82" s="70" t="s">
        <v>22</v>
      </c>
      <c r="D82" s="70"/>
      <c r="E82" s="3">
        <f>E81+1</f>
        <v>2</v>
      </c>
      <c r="F82" s="15">
        <v>48.4</v>
      </c>
      <c r="G82" s="15">
        <v>1.8</v>
      </c>
      <c r="H82" s="15">
        <f t="shared" ref="H82:H91" si="7">F82-G82</f>
        <v>46.6</v>
      </c>
      <c r="I82" s="4" t="s">
        <v>20</v>
      </c>
    </row>
    <row r="83" spans="1:9" x14ac:dyDescent="0.25">
      <c r="A83" t="s">
        <v>23</v>
      </c>
      <c r="B83" t="s">
        <v>88</v>
      </c>
      <c r="C83" s="70" t="s">
        <v>22</v>
      </c>
      <c r="D83" s="70"/>
      <c r="E83" s="3">
        <f t="shared" ref="E83:E91" si="8">E82+1</f>
        <v>3</v>
      </c>
      <c r="F83" s="15">
        <v>45.7</v>
      </c>
      <c r="G83" s="15">
        <v>1.7</v>
      </c>
      <c r="H83" s="15">
        <f t="shared" si="7"/>
        <v>44</v>
      </c>
      <c r="I83" s="4" t="s">
        <v>20</v>
      </c>
    </row>
    <row r="84" spans="1:9" x14ac:dyDescent="0.25">
      <c r="A84" t="s">
        <v>23</v>
      </c>
      <c r="B84" t="s">
        <v>88</v>
      </c>
      <c r="C84" s="70" t="s">
        <v>22</v>
      </c>
      <c r="D84" s="70"/>
      <c r="E84" s="3">
        <f t="shared" si="8"/>
        <v>4</v>
      </c>
      <c r="F84" s="15">
        <v>51.7</v>
      </c>
      <c r="G84" s="15">
        <v>1.8</v>
      </c>
      <c r="H84" s="15">
        <f t="shared" si="7"/>
        <v>49.900000000000006</v>
      </c>
      <c r="I84" s="4" t="s">
        <v>20</v>
      </c>
    </row>
    <row r="85" spans="1:9" x14ac:dyDescent="0.25">
      <c r="A85" t="s">
        <v>23</v>
      </c>
      <c r="B85" t="s">
        <v>88</v>
      </c>
      <c r="C85" s="70" t="s">
        <v>22</v>
      </c>
      <c r="D85" s="70"/>
      <c r="E85" s="3">
        <f t="shared" si="8"/>
        <v>5</v>
      </c>
      <c r="F85" s="15">
        <v>51.4</v>
      </c>
      <c r="G85" s="15">
        <v>1.7</v>
      </c>
      <c r="H85" s="15">
        <f t="shared" si="7"/>
        <v>49.699999999999996</v>
      </c>
      <c r="I85" s="4" t="s">
        <v>20</v>
      </c>
    </row>
    <row r="86" spans="1:9" x14ac:dyDescent="0.25">
      <c r="A86" t="s">
        <v>23</v>
      </c>
      <c r="B86" t="s">
        <v>88</v>
      </c>
      <c r="C86" s="70" t="s">
        <v>22</v>
      </c>
      <c r="D86" s="70"/>
      <c r="E86" s="3">
        <f t="shared" si="8"/>
        <v>6</v>
      </c>
      <c r="F86" s="15">
        <v>50.6</v>
      </c>
      <c r="G86" s="15">
        <v>1.5</v>
      </c>
      <c r="H86" s="15">
        <f t="shared" si="7"/>
        <v>49.1</v>
      </c>
      <c r="I86" s="4" t="s">
        <v>20</v>
      </c>
    </row>
    <row r="87" spans="1:9" x14ac:dyDescent="0.25">
      <c r="A87" t="s">
        <v>23</v>
      </c>
      <c r="B87" t="s">
        <v>88</v>
      </c>
      <c r="C87" s="70" t="s">
        <v>22</v>
      </c>
      <c r="D87" s="70"/>
      <c r="E87" s="3">
        <f t="shared" si="8"/>
        <v>7</v>
      </c>
      <c r="F87" s="15">
        <v>51.4</v>
      </c>
      <c r="G87" s="15">
        <v>1.7</v>
      </c>
      <c r="H87" s="15">
        <f t="shared" si="7"/>
        <v>49.699999999999996</v>
      </c>
      <c r="I87" s="4" t="s">
        <v>20</v>
      </c>
    </row>
    <row r="88" spans="1:9" x14ac:dyDescent="0.25">
      <c r="A88" t="s">
        <v>23</v>
      </c>
      <c r="B88" t="s">
        <v>88</v>
      </c>
      <c r="C88" s="70" t="s">
        <v>22</v>
      </c>
      <c r="D88" s="70"/>
      <c r="E88" s="3">
        <f t="shared" si="8"/>
        <v>8</v>
      </c>
      <c r="F88" s="15">
        <v>47.6</v>
      </c>
      <c r="G88" s="15">
        <v>1.8</v>
      </c>
      <c r="H88" s="15">
        <f t="shared" si="7"/>
        <v>45.800000000000004</v>
      </c>
      <c r="I88" s="4" t="s">
        <v>20</v>
      </c>
    </row>
    <row r="89" spans="1:9" x14ac:dyDescent="0.25">
      <c r="A89" t="s">
        <v>23</v>
      </c>
      <c r="B89" t="s">
        <v>88</v>
      </c>
      <c r="C89" s="70" t="s">
        <v>22</v>
      </c>
      <c r="D89" s="70"/>
      <c r="E89" s="3">
        <f t="shared" si="8"/>
        <v>9</v>
      </c>
      <c r="F89" s="15">
        <v>50.7</v>
      </c>
      <c r="G89" s="15">
        <v>1.8</v>
      </c>
      <c r="H89" s="15">
        <f t="shared" si="7"/>
        <v>48.900000000000006</v>
      </c>
      <c r="I89" s="4" t="s">
        <v>20</v>
      </c>
    </row>
    <row r="90" spans="1:9" x14ac:dyDescent="0.25">
      <c r="A90" t="s">
        <v>23</v>
      </c>
      <c r="B90" t="s">
        <v>88</v>
      </c>
      <c r="C90" s="70" t="s">
        <v>22</v>
      </c>
      <c r="D90" s="70"/>
      <c r="E90" s="3">
        <f t="shared" si="8"/>
        <v>10</v>
      </c>
      <c r="F90" s="15">
        <v>48</v>
      </c>
      <c r="G90" s="15">
        <v>1.8</v>
      </c>
      <c r="H90" s="15">
        <f t="shared" si="7"/>
        <v>46.2</v>
      </c>
      <c r="I90" s="4" t="s">
        <v>20</v>
      </c>
    </row>
    <row r="91" spans="1:9" ht="15.75" thickBot="1" x14ac:dyDescent="0.3">
      <c r="A91" t="s">
        <v>23</v>
      </c>
      <c r="B91" t="s">
        <v>88</v>
      </c>
      <c r="C91" s="70" t="s">
        <v>22</v>
      </c>
      <c r="D91" s="70"/>
      <c r="E91" s="3">
        <f t="shared" si="8"/>
        <v>11</v>
      </c>
      <c r="F91" s="15">
        <v>43.3</v>
      </c>
      <c r="G91" s="15">
        <v>1.6</v>
      </c>
      <c r="H91" s="15">
        <f t="shared" si="7"/>
        <v>41.699999999999996</v>
      </c>
      <c r="I91" s="4" t="s">
        <v>20</v>
      </c>
    </row>
    <row r="92" spans="1:9" ht="16.5" thickTop="1" thickBot="1" x14ac:dyDescent="0.3">
      <c r="A92" s="75" t="s">
        <v>27</v>
      </c>
      <c r="B92" s="75"/>
      <c r="C92" s="75"/>
      <c r="D92" s="75"/>
      <c r="E92" s="12">
        <f>E91</f>
        <v>11</v>
      </c>
      <c r="F92" s="14">
        <f>SUM(F81:F91)</f>
        <v>539.79999999999995</v>
      </c>
      <c r="G92" s="14">
        <f>SUM(G81:G91)</f>
        <v>18.900000000000002</v>
      </c>
      <c r="H92" s="14">
        <f>SUM(H81:H91)</f>
        <v>520.9</v>
      </c>
      <c r="I92" s="13"/>
    </row>
    <row r="93" spans="1:9" ht="6" customHeight="1" thickTop="1" x14ac:dyDescent="0.25"/>
    <row r="94" spans="1:9" ht="15.75" thickBot="1" x14ac:dyDescent="0.3">
      <c r="A94" s="1" t="s">
        <v>29</v>
      </c>
    </row>
    <row r="95" spans="1:9" ht="33" customHeight="1" thickTop="1" thickBot="1" x14ac:dyDescent="0.3">
      <c r="A95" s="9" t="s">
        <v>7</v>
      </c>
      <c r="B95" s="9" t="s">
        <v>2</v>
      </c>
      <c r="C95" s="73" t="s">
        <v>6</v>
      </c>
      <c r="D95" s="73"/>
      <c r="E95" s="11" t="s">
        <v>30</v>
      </c>
      <c r="F95" s="11" t="s">
        <v>31</v>
      </c>
      <c r="G95" s="11" t="s">
        <v>32</v>
      </c>
      <c r="H95" s="11" t="s">
        <v>33</v>
      </c>
      <c r="I95" s="11" t="s">
        <v>37</v>
      </c>
    </row>
    <row r="96" spans="1:9" ht="16.5" thickTop="1" thickBot="1" x14ac:dyDescent="0.3">
      <c r="A96" t="s">
        <v>23</v>
      </c>
      <c r="B96" t="str">
        <f>B91</f>
        <v>MADURA'25</v>
      </c>
      <c r="C96" s="80" t="s">
        <v>22</v>
      </c>
      <c r="D96" s="80"/>
      <c r="E96" s="15">
        <v>397.3</v>
      </c>
      <c r="F96" s="15">
        <v>115.2</v>
      </c>
      <c r="G96" s="15">
        <v>7.9</v>
      </c>
      <c r="H96" s="15">
        <f>IF(E96="","",(H92-E96-F96-G96))</f>
        <v>0.4999999999999627</v>
      </c>
      <c r="I96" s="15">
        <f>IF(E96="","",SUM(E96:H96))</f>
        <v>520.9</v>
      </c>
    </row>
    <row r="97" spans="1:14" ht="16.5" thickTop="1" thickBot="1" x14ac:dyDescent="0.3">
      <c r="A97" s="77" t="s">
        <v>52</v>
      </c>
      <c r="B97" s="77"/>
      <c r="C97" s="77"/>
      <c r="D97" s="77"/>
      <c r="E97" s="20">
        <f>IF(E96="","",E96/$H92)</f>
        <v>0.76271837204837789</v>
      </c>
      <c r="F97" s="54">
        <f>IF(F96="","",F96/$H92)</f>
        <v>0.22115569207141486</v>
      </c>
      <c r="G97" s="54">
        <f t="shared" ref="G97:H97" si="9">IF(G96="","",G96/$H92)</f>
        <v>1.5166058744480708E-2</v>
      </c>
      <c r="H97" s="54">
        <f t="shared" si="9"/>
        <v>9.5987713572655547E-4</v>
      </c>
      <c r="I97" s="17">
        <f>IF(I96="","",SUM(E97:H97))</f>
        <v>1</v>
      </c>
    </row>
    <row r="98" spans="1:14" ht="15.75" thickTop="1" x14ac:dyDescent="0.25">
      <c r="A98" s="19" t="s">
        <v>16</v>
      </c>
    </row>
    <row r="99" spans="1:14" ht="9.9499999999999993" customHeight="1" x14ac:dyDescent="0.25">
      <c r="A99" s="7" t="s">
        <v>36</v>
      </c>
    </row>
    <row r="100" spans="1:14" ht="9.9499999999999993" customHeight="1" x14ac:dyDescent="0.25">
      <c r="A100" s="7" t="s">
        <v>35</v>
      </c>
    </row>
    <row r="101" spans="1:14" ht="9.9499999999999993" customHeight="1" x14ac:dyDescent="0.25">
      <c r="A101" s="7" t="s">
        <v>34</v>
      </c>
    </row>
    <row r="102" spans="1:14" ht="9.9499999999999993" customHeight="1" x14ac:dyDescent="0.25">
      <c r="A102" s="7" t="s">
        <v>50</v>
      </c>
    </row>
    <row r="103" spans="1:14" ht="15.75" thickBot="1" x14ac:dyDescent="0.3">
      <c r="A103" s="1" t="s">
        <v>56</v>
      </c>
      <c r="B103" s="1" t="s">
        <v>86</v>
      </c>
      <c r="C103" s="1"/>
    </row>
    <row r="104" spans="1:14" ht="16.5" thickTop="1" thickBot="1" x14ac:dyDescent="0.3">
      <c r="A104" s="9" t="s">
        <v>7</v>
      </c>
      <c r="B104" s="9" t="s">
        <v>2</v>
      </c>
      <c r="C104" s="73" t="s">
        <v>6</v>
      </c>
      <c r="D104" s="73"/>
      <c r="E104" s="10" t="s">
        <v>25</v>
      </c>
      <c r="F104" s="10" t="s">
        <v>3</v>
      </c>
      <c r="G104" s="10" t="s">
        <v>4</v>
      </c>
      <c r="H104" s="10" t="s">
        <v>5</v>
      </c>
      <c r="I104" s="11" t="s">
        <v>26</v>
      </c>
    </row>
    <row r="105" spans="1:14" ht="15.75" thickTop="1" x14ac:dyDescent="0.25">
      <c r="A105" t="s">
        <v>23</v>
      </c>
      <c r="B105" t="s">
        <v>62</v>
      </c>
      <c r="C105" s="74" t="s">
        <v>14</v>
      </c>
      <c r="D105" s="74"/>
      <c r="E105" s="3">
        <v>1</v>
      </c>
      <c r="F105" s="15">
        <v>115.9</v>
      </c>
      <c r="G105" s="15">
        <v>13.6</v>
      </c>
      <c r="H105" s="15">
        <f>F105-G105</f>
        <v>102.30000000000001</v>
      </c>
      <c r="I105" s="4" t="s">
        <v>20</v>
      </c>
    </row>
    <row r="106" spans="1:14" x14ac:dyDescent="0.25">
      <c r="A106" t="s">
        <v>23</v>
      </c>
      <c r="B106" t="s">
        <v>62</v>
      </c>
      <c r="C106" s="70" t="s">
        <v>14</v>
      </c>
      <c r="D106" s="70"/>
      <c r="E106" s="3">
        <f>E105+1</f>
        <v>2</v>
      </c>
      <c r="F106" s="15">
        <v>115.9</v>
      </c>
      <c r="G106" s="15">
        <v>14.1</v>
      </c>
      <c r="H106" s="15">
        <f t="shared" ref="H106:H108" si="10">F106-G106</f>
        <v>101.80000000000001</v>
      </c>
      <c r="I106" s="4" t="s">
        <v>20</v>
      </c>
    </row>
    <row r="107" spans="1:14" x14ac:dyDescent="0.25">
      <c r="A107" t="s">
        <v>23</v>
      </c>
      <c r="B107" t="s">
        <v>62</v>
      </c>
      <c r="C107" s="70" t="s">
        <v>14</v>
      </c>
      <c r="D107" s="70"/>
      <c r="E107" s="3">
        <f t="shared" ref="E107:E108" si="11">E106+1</f>
        <v>3</v>
      </c>
      <c r="F107" s="15">
        <v>115.9</v>
      </c>
      <c r="G107" s="15">
        <v>13.2</v>
      </c>
      <c r="H107" s="15">
        <f t="shared" si="10"/>
        <v>102.7</v>
      </c>
      <c r="I107" s="4" t="s">
        <v>20</v>
      </c>
    </row>
    <row r="108" spans="1:14" ht="15.75" thickBot="1" x14ac:dyDescent="0.3">
      <c r="A108" t="s">
        <v>23</v>
      </c>
      <c r="B108" t="s">
        <v>62</v>
      </c>
      <c r="C108" s="78" t="s">
        <v>14</v>
      </c>
      <c r="D108" s="78"/>
      <c r="E108" s="3">
        <f t="shared" si="11"/>
        <v>4</v>
      </c>
      <c r="F108" s="15">
        <v>115.9</v>
      </c>
      <c r="G108" s="15">
        <v>14.6</v>
      </c>
      <c r="H108" s="15">
        <f t="shared" si="10"/>
        <v>101.30000000000001</v>
      </c>
      <c r="I108" s="4" t="s">
        <v>20</v>
      </c>
    </row>
    <row r="109" spans="1:14" ht="16.5" thickTop="1" thickBot="1" x14ac:dyDescent="0.3">
      <c r="A109" s="75" t="s">
        <v>27</v>
      </c>
      <c r="B109" s="75"/>
      <c r="C109" s="75"/>
      <c r="D109" s="75"/>
      <c r="E109" s="12">
        <f>E108</f>
        <v>4</v>
      </c>
      <c r="F109" s="14">
        <f>SUM(F105:F108)</f>
        <v>463.6</v>
      </c>
      <c r="G109" s="14">
        <f>SUM(G105:G108)</f>
        <v>55.5</v>
      </c>
      <c r="H109" s="14">
        <f>SUM(H105:H108)</f>
        <v>408.1</v>
      </c>
      <c r="I109" s="13"/>
    </row>
    <row r="110" spans="1:14" ht="3.75" customHeight="1" thickTop="1" x14ac:dyDescent="0.25"/>
    <row r="111" spans="1:14" ht="15.75" thickBot="1" x14ac:dyDescent="0.3">
      <c r="A111" s="1" t="s">
        <v>29</v>
      </c>
      <c r="N111" t="s">
        <v>66</v>
      </c>
    </row>
    <row r="112" spans="1:14" ht="31.5" thickTop="1" thickBot="1" x14ac:dyDescent="0.3">
      <c r="A112" s="9" t="s">
        <v>7</v>
      </c>
      <c r="B112" s="9" t="s">
        <v>2</v>
      </c>
      <c r="C112" s="73" t="s">
        <v>6</v>
      </c>
      <c r="D112" s="73"/>
      <c r="E112" s="11" t="s">
        <v>30</v>
      </c>
      <c r="F112" s="11" t="s">
        <v>31</v>
      </c>
      <c r="G112" s="11" t="s">
        <v>32</v>
      </c>
      <c r="H112" s="11" t="s">
        <v>33</v>
      </c>
      <c r="I112" s="11" t="s">
        <v>37</v>
      </c>
    </row>
    <row r="113" spans="1:9" ht="16.5" thickTop="1" thickBot="1" x14ac:dyDescent="0.3">
      <c r="A113" t="s">
        <v>23</v>
      </c>
      <c r="B113" t="s">
        <v>62</v>
      </c>
      <c r="C113" s="76" t="s">
        <v>14</v>
      </c>
      <c r="D113" s="76"/>
      <c r="E113" s="15">
        <v>204</v>
      </c>
      <c r="F113" s="15">
        <v>188.9</v>
      </c>
      <c r="G113" s="15">
        <v>9.6</v>
      </c>
      <c r="H113" s="15">
        <f>IF(E113="","",(H109-E113-F113-G113))</f>
        <v>5.6000000000000174</v>
      </c>
      <c r="I113" s="15">
        <f>IF(E113="","",SUM(E113:H113))</f>
        <v>408.1</v>
      </c>
    </row>
    <row r="114" spans="1:9" ht="16.5" thickTop="1" thickBot="1" x14ac:dyDescent="0.3">
      <c r="A114" s="77" t="s">
        <v>52</v>
      </c>
      <c r="B114" s="77"/>
      <c r="C114" s="77"/>
      <c r="D114" s="77"/>
      <c r="E114" s="20">
        <f>IF(E113="","",E113/$H109)</f>
        <v>0.49987748100955648</v>
      </c>
      <c r="F114" s="54">
        <f>IF(F113="","",F113/$H109)</f>
        <v>0.46287674589561378</v>
      </c>
      <c r="G114" s="54">
        <f t="shared" ref="G114:H114" si="12">IF(G113="","",G113/$H109)</f>
        <v>2.3523646165155596E-2</v>
      </c>
      <c r="H114" s="54">
        <f t="shared" si="12"/>
        <v>1.3722126929674141E-2</v>
      </c>
      <c r="I114" s="17">
        <f>IF(I113="","",SUM(E114:H114))</f>
        <v>1</v>
      </c>
    </row>
    <row r="115" spans="1:9" ht="15.75" thickTop="1" x14ac:dyDescent="0.25">
      <c r="A115" s="19" t="s">
        <v>16</v>
      </c>
    </row>
    <row r="116" spans="1:9" ht="9.9499999999999993" customHeight="1" x14ac:dyDescent="0.25">
      <c r="A116" s="7" t="s">
        <v>48</v>
      </c>
    </row>
    <row r="117" spans="1:9" ht="9.9499999999999993" customHeight="1" x14ac:dyDescent="0.25">
      <c r="A117" s="7" t="s">
        <v>35</v>
      </c>
    </row>
    <row r="118" spans="1:9" ht="9.9499999999999993" customHeight="1" x14ac:dyDescent="0.25">
      <c r="A118" s="7" t="s">
        <v>34</v>
      </c>
    </row>
    <row r="119" spans="1:9" ht="9.9499999999999993" customHeight="1" x14ac:dyDescent="0.25">
      <c r="A119" s="7" t="s">
        <v>50</v>
      </c>
    </row>
    <row r="120" spans="1:9" ht="15.75" thickBot="1" x14ac:dyDescent="0.3">
      <c r="A120" s="1" t="s">
        <v>57</v>
      </c>
      <c r="B120" s="1" t="s">
        <v>85</v>
      </c>
      <c r="C120" s="1"/>
    </row>
    <row r="121" spans="1:9" ht="16.5" thickTop="1" thickBot="1" x14ac:dyDescent="0.3">
      <c r="A121" s="9" t="s">
        <v>7</v>
      </c>
      <c r="B121" s="9" t="s">
        <v>2</v>
      </c>
      <c r="C121" s="73" t="s">
        <v>6</v>
      </c>
      <c r="D121" s="73"/>
      <c r="E121" s="10" t="s">
        <v>25</v>
      </c>
      <c r="F121" s="10" t="s">
        <v>3</v>
      </c>
      <c r="G121" s="10" t="s">
        <v>4</v>
      </c>
      <c r="H121" s="10" t="s">
        <v>5</v>
      </c>
      <c r="I121" s="11" t="s">
        <v>26</v>
      </c>
    </row>
    <row r="122" spans="1:9" ht="15.75" thickTop="1" x14ac:dyDescent="0.25">
      <c r="A122" t="s">
        <v>23</v>
      </c>
      <c r="B122" t="s">
        <v>83</v>
      </c>
      <c r="C122" s="74" t="s">
        <v>22</v>
      </c>
      <c r="D122" s="74"/>
      <c r="E122" s="3">
        <v>1</v>
      </c>
      <c r="F122" s="15">
        <v>39.200000000000003</v>
      </c>
      <c r="G122" s="15">
        <v>1.2</v>
      </c>
      <c r="H122" s="15">
        <f>F122-G122</f>
        <v>38</v>
      </c>
      <c r="I122" s="4" t="s">
        <v>20</v>
      </c>
    </row>
    <row r="123" spans="1:9" x14ac:dyDescent="0.25">
      <c r="A123" t="s">
        <v>23</v>
      </c>
      <c r="B123" t="s">
        <v>83</v>
      </c>
      <c r="C123" s="70" t="s">
        <v>22</v>
      </c>
      <c r="D123" s="70"/>
      <c r="E123" s="3">
        <f>E122+1</f>
        <v>2</v>
      </c>
      <c r="F123" s="15">
        <v>41.4</v>
      </c>
      <c r="G123" s="15">
        <v>1.2</v>
      </c>
      <c r="H123" s="15">
        <f t="shared" ref="H123:H129" si="13">F123-G123</f>
        <v>40.199999999999996</v>
      </c>
      <c r="I123" s="4" t="s">
        <v>20</v>
      </c>
    </row>
    <row r="124" spans="1:9" x14ac:dyDescent="0.25">
      <c r="A124" t="s">
        <v>23</v>
      </c>
      <c r="B124" t="s">
        <v>83</v>
      </c>
      <c r="C124" s="70" t="s">
        <v>22</v>
      </c>
      <c r="D124" s="70"/>
      <c r="E124" s="3">
        <f t="shared" ref="E124:E134" si="14">E123+1</f>
        <v>3</v>
      </c>
      <c r="F124" s="15">
        <v>38.9</v>
      </c>
      <c r="G124" s="15">
        <v>1.7</v>
      </c>
      <c r="H124" s="15">
        <f t="shared" si="13"/>
        <v>37.199999999999996</v>
      </c>
      <c r="I124" s="4" t="s">
        <v>20</v>
      </c>
    </row>
    <row r="125" spans="1:9" x14ac:dyDescent="0.25">
      <c r="A125" t="s">
        <v>23</v>
      </c>
      <c r="B125" t="s">
        <v>83</v>
      </c>
      <c r="C125" s="70" t="s">
        <v>22</v>
      </c>
      <c r="D125" s="70"/>
      <c r="E125" s="3">
        <f t="shared" si="14"/>
        <v>4</v>
      </c>
      <c r="F125" s="15">
        <v>41.9</v>
      </c>
      <c r="G125" s="15">
        <v>1.3</v>
      </c>
      <c r="H125" s="15">
        <f t="shared" si="13"/>
        <v>40.6</v>
      </c>
      <c r="I125" s="4" t="s">
        <v>20</v>
      </c>
    </row>
    <row r="126" spans="1:9" x14ac:dyDescent="0.25">
      <c r="A126" t="s">
        <v>23</v>
      </c>
      <c r="B126" t="s">
        <v>83</v>
      </c>
      <c r="C126" s="70" t="s">
        <v>22</v>
      </c>
      <c r="D126" s="70"/>
      <c r="E126" s="3">
        <f t="shared" si="14"/>
        <v>5</v>
      </c>
      <c r="F126" s="15">
        <v>40.1</v>
      </c>
      <c r="G126" s="15">
        <v>1</v>
      </c>
      <c r="H126" s="15">
        <f t="shared" si="13"/>
        <v>39.1</v>
      </c>
      <c r="I126" s="4" t="s">
        <v>20</v>
      </c>
    </row>
    <row r="127" spans="1:9" x14ac:dyDescent="0.25">
      <c r="A127" t="s">
        <v>23</v>
      </c>
      <c r="B127" t="s">
        <v>83</v>
      </c>
      <c r="C127" s="70" t="s">
        <v>22</v>
      </c>
      <c r="D127" s="70"/>
      <c r="E127" s="3">
        <f t="shared" si="14"/>
        <v>6</v>
      </c>
      <c r="F127" s="15">
        <v>41.2</v>
      </c>
      <c r="G127" s="15">
        <v>1.2</v>
      </c>
      <c r="H127" s="15">
        <f t="shared" si="13"/>
        <v>40</v>
      </c>
      <c r="I127" s="4" t="s">
        <v>20</v>
      </c>
    </row>
    <row r="128" spans="1:9" x14ac:dyDescent="0.25">
      <c r="A128" t="s">
        <v>23</v>
      </c>
      <c r="B128" t="s">
        <v>83</v>
      </c>
      <c r="C128" s="70" t="s">
        <v>22</v>
      </c>
      <c r="D128" s="70"/>
      <c r="E128" s="3">
        <f t="shared" si="14"/>
        <v>7</v>
      </c>
      <c r="F128" s="15">
        <v>40</v>
      </c>
      <c r="G128" s="15">
        <v>1.6</v>
      </c>
      <c r="H128" s="15">
        <f t="shared" si="13"/>
        <v>38.4</v>
      </c>
      <c r="I128" s="4" t="s">
        <v>20</v>
      </c>
    </row>
    <row r="129" spans="1:9" x14ac:dyDescent="0.25">
      <c r="A129" t="s">
        <v>23</v>
      </c>
      <c r="B129" t="s">
        <v>83</v>
      </c>
      <c r="C129" s="70" t="s">
        <v>22</v>
      </c>
      <c r="D129" s="70"/>
      <c r="E129" s="3">
        <f t="shared" si="14"/>
        <v>8</v>
      </c>
      <c r="F129" s="15">
        <v>42</v>
      </c>
      <c r="G129" s="15">
        <v>1.3</v>
      </c>
      <c r="H129" s="15">
        <f t="shared" si="13"/>
        <v>40.700000000000003</v>
      </c>
      <c r="I129" s="4" t="s">
        <v>20</v>
      </c>
    </row>
    <row r="130" spans="1:9" x14ac:dyDescent="0.25">
      <c r="A130" t="s">
        <v>23</v>
      </c>
      <c r="B130" t="s">
        <v>83</v>
      </c>
      <c r="C130" s="70" t="s">
        <v>22</v>
      </c>
      <c r="D130" s="70"/>
      <c r="E130" s="3">
        <f t="shared" si="14"/>
        <v>9</v>
      </c>
      <c r="F130" s="15">
        <v>40.700000000000003</v>
      </c>
      <c r="G130" s="15">
        <v>1.5</v>
      </c>
      <c r="H130" s="15">
        <f t="shared" ref="H130:H134" si="15">F130-G130</f>
        <v>39.200000000000003</v>
      </c>
      <c r="I130" s="4" t="s">
        <v>20</v>
      </c>
    </row>
    <row r="131" spans="1:9" x14ac:dyDescent="0.25">
      <c r="A131" t="s">
        <v>23</v>
      </c>
      <c r="B131" t="s">
        <v>83</v>
      </c>
      <c r="C131" s="70" t="s">
        <v>22</v>
      </c>
      <c r="D131" s="70"/>
      <c r="E131" s="3">
        <f t="shared" si="14"/>
        <v>10</v>
      </c>
      <c r="F131" s="15">
        <v>44.9</v>
      </c>
      <c r="G131" s="15">
        <v>1.4</v>
      </c>
      <c r="H131" s="15">
        <f t="shared" si="15"/>
        <v>43.5</v>
      </c>
      <c r="I131" s="4" t="s">
        <v>20</v>
      </c>
    </row>
    <row r="132" spans="1:9" x14ac:dyDescent="0.25">
      <c r="A132" t="s">
        <v>23</v>
      </c>
      <c r="B132" t="s">
        <v>83</v>
      </c>
      <c r="C132" s="70" t="s">
        <v>22</v>
      </c>
      <c r="D132" s="70"/>
      <c r="E132" s="3">
        <f t="shared" si="14"/>
        <v>11</v>
      </c>
      <c r="F132" s="15">
        <v>45</v>
      </c>
      <c r="G132" s="15">
        <v>1.5</v>
      </c>
      <c r="H132" s="15">
        <f t="shared" si="15"/>
        <v>43.5</v>
      </c>
      <c r="I132" s="4" t="s">
        <v>20</v>
      </c>
    </row>
    <row r="133" spans="1:9" x14ac:dyDescent="0.25">
      <c r="A133" t="s">
        <v>23</v>
      </c>
      <c r="B133" t="s">
        <v>83</v>
      </c>
      <c r="C133" s="70" t="s">
        <v>22</v>
      </c>
      <c r="D133" s="70"/>
      <c r="E133" s="3">
        <f t="shared" si="14"/>
        <v>12</v>
      </c>
      <c r="F133" s="15">
        <v>40</v>
      </c>
      <c r="G133" s="15">
        <v>1.7</v>
      </c>
      <c r="H133" s="15">
        <f t="shared" si="15"/>
        <v>38.299999999999997</v>
      </c>
      <c r="I133" s="4" t="s">
        <v>20</v>
      </c>
    </row>
    <row r="134" spans="1:9" ht="15.75" thickBot="1" x14ac:dyDescent="0.3">
      <c r="A134" t="s">
        <v>23</v>
      </c>
      <c r="B134" t="s">
        <v>83</v>
      </c>
      <c r="C134" s="70" t="s">
        <v>22</v>
      </c>
      <c r="D134" s="70"/>
      <c r="E134" s="3">
        <f t="shared" si="14"/>
        <v>13</v>
      </c>
      <c r="F134" s="15">
        <v>45.2</v>
      </c>
      <c r="G134" s="15">
        <v>1.3</v>
      </c>
      <c r="H134" s="15">
        <f t="shared" si="15"/>
        <v>43.900000000000006</v>
      </c>
      <c r="I134" s="4" t="s">
        <v>20</v>
      </c>
    </row>
    <row r="135" spans="1:9" ht="16.5" thickTop="1" thickBot="1" x14ac:dyDescent="0.3">
      <c r="A135" s="75" t="s">
        <v>27</v>
      </c>
      <c r="B135" s="75"/>
      <c r="C135" s="75"/>
      <c r="D135" s="75"/>
      <c r="E135" s="12">
        <f>E134</f>
        <v>13</v>
      </c>
      <c r="F135" s="14">
        <f>SUM(F122:F134)</f>
        <v>540.5</v>
      </c>
      <c r="G135" s="14">
        <f>SUM(G122:G134)</f>
        <v>17.900000000000002</v>
      </c>
      <c r="H135" s="14">
        <f>SUM(H122:H134)</f>
        <v>522.59999999999991</v>
      </c>
      <c r="I135" s="13"/>
    </row>
    <row r="136" spans="1:9" ht="6" customHeight="1" thickTop="1" x14ac:dyDescent="0.25"/>
    <row r="137" spans="1:9" ht="15.75" thickBot="1" x14ac:dyDescent="0.3">
      <c r="A137" s="1" t="s">
        <v>29</v>
      </c>
    </row>
    <row r="138" spans="1:9" ht="33" customHeight="1" thickTop="1" thickBot="1" x14ac:dyDescent="0.3">
      <c r="A138" s="9" t="s">
        <v>7</v>
      </c>
      <c r="B138" s="9" t="s">
        <v>2</v>
      </c>
      <c r="C138" s="73" t="s">
        <v>6</v>
      </c>
      <c r="D138" s="73"/>
      <c r="E138" s="11" t="s">
        <v>30</v>
      </c>
      <c r="F138" s="11" t="s">
        <v>31</v>
      </c>
      <c r="G138" s="11" t="s">
        <v>32</v>
      </c>
      <c r="H138" s="11" t="s">
        <v>33</v>
      </c>
      <c r="I138" s="11" t="s">
        <v>37</v>
      </c>
    </row>
    <row r="139" spans="1:9" ht="16.5" thickTop="1" thickBot="1" x14ac:dyDescent="0.3">
      <c r="A139" t="s">
        <v>23</v>
      </c>
      <c r="B139" t="str">
        <f>B134</f>
        <v>KASTURI</v>
      </c>
      <c r="C139" s="80" t="s">
        <v>22</v>
      </c>
      <c r="D139" s="80"/>
      <c r="E139" s="15">
        <v>425</v>
      </c>
      <c r="F139" s="15">
        <v>88.1</v>
      </c>
      <c r="G139" s="15">
        <v>6.9</v>
      </c>
      <c r="H139" s="15">
        <f>IF(E139="","",(H135-E139-F139-G139))</f>
        <v>2.5999999999999144</v>
      </c>
      <c r="I139" s="15">
        <f>IF(E139="","",SUM(E139:H139))</f>
        <v>522.59999999999991</v>
      </c>
    </row>
    <row r="140" spans="1:9" ht="16.5" thickTop="1" thickBot="1" x14ac:dyDescent="0.3">
      <c r="A140" s="77" t="s">
        <v>52</v>
      </c>
      <c r="B140" s="77"/>
      <c r="C140" s="77"/>
      <c r="D140" s="77"/>
      <c r="E140" s="20">
        <f>IF(E139="","",E139/$H135)</f>
        <v>0.81324148488327608</v>
      </c>
      <c r="F140" s="54">
        <f>IF(F139="","",F139/$H135)</f>
        <v>0.16858017604286263</v>
      </c>
      <c r="G140" s="54">
        <f t="shared" ref="G140:H140" si="16">IF(G139="","",G139/$H135)</f>
        <v>1.3203214695752013E-2</v>
      </c>
      <c r="H140" s="54">
        <f t="shared" si="16"/>
        <v>4.9751243781092896E-3</v>
      </c>
      <c r="I140" s="17">
        <f>IF(I139="","",SUM(E140:H140))</f>
        <v>1</v>
      </c>
    </row>
    <row r="141" spans="1:9" ht="15.75" thickTop="1" x14ac:dyDescent="0.25">
      <c r="A141" s="19" t="s">
        <v>16</v>
      </c>
    </row>
    <row r="142" spans="1:9" ht="9.9499999999999993" customHeight="1" x14ac:dyDescent="0.25">
      <c r="A142" s="7" t="s">
        <v>36</v>
      </c>
    </row>
    <row r="143" spans="1:9" ht="9.9499999999999993" customHeight="1" x14ac:dyDescent="0.25">
      <c r="A143" s="7" t="s">
        <v>35</v>
      </c>
    </row>
    <row r="144" spans="1:9" ht="9.9499999999999993" customHeight="1" x14ac:dyDescent="0.25">
      <c r="A144" s="7" t="s">
        <v>34</v>
      </c>
    </row>
    <row r="145" spans="1:1" ht="9.9499999999999993" customHeight="1" x14ac:dyDescent="0.25">
      <c r="A145" s="7" t="s">
        <v>50</v>
      </c>
    </row>
  </sheetData>
  <mergeCells count="89">
    <mergeCell ref="A140:D140"/>
    <mergeCell ref="C130:D130"/>
    <mergeCell ref="C131:D131"/>
    <mergeCell ref="C132:D132"/>
    <mergeCell ref="C133:D133"/>
    <mergeCell ref="C134:D134"/>
    <mergeCell ref="A135:D135"/>
    <mergeCell ref="C138:D138"/>
    <mergeCell ref="C139:D139"/>
    <mergeCell ref="C107:D107"/>
    <mergeCell ref="C108:D108"/>
    <mergeCell ref="C106:D106"/>
    <mergeCell ref="C128:D128"/>
    <mergeCell ref="C129:D129"/>
    <mergeCell ref="C127:D127"/>
    <mergeCell ref="C121:D121"/>
    <mergeCell ref="A109:D109"/>
    <mergeCell ref="C112:D112"/>
    <mergeCell ref="C113:D113"/>
    <mergeCell ref="A114:D114"/>
    <mergeCell ref="C122:D122"/>
    <mergeCell ref="C123:D123"/>
    <mergeCell ref="C124:D124"/>
    <mergeCell ref="C125:D125"/>
    <mergeCell ref="C126:D126"/>
    <mergeCell ref="C86:D86"/>
    <mergeCell ref="C87:D87"/>
    <mergeCell ref="C88:D88"/>
    <mergeCell ref="C89:D89"/>
    <mergeCell ref="C96:D96"/>
    <mergeCell ref="C71:D71"/>
    <mergeCell ref="C72:D72"/>
    <mergeCell ref="A73:D73"/>
    <mergeCell ref="C104:D104"/>
    <mergeCell ref="C105:D105"/>
    <mergeCell ref="C85:D85"/>
    <mergeCell ref="C80:D80"/>
    <mergeCell ref="C81:D81"/>
    <mergeCell ref="C82:D82"/>
    <mergeCell ref="C83:D83"/>
    <mergeCell ref="C84:D84"/>
    <mergeCell ref="A97:D97"/>
    <mergeCell ref="C90:D90"/>
    <mergeCell ref="C91:D91"/>
    <mergeCell ref="C95:D95"/>
    <mergeCell ref="A92:D92"/>
    <mergeCell ref="A68:D68"/>
    <mergeCell ref="C62:D62"/>
    <mergeCell ref="C63:D63"/>
    <mergeCell ref="C64:D64"/>
    <mergeCell ref="C65:D65"/>
    <mergeCell ref="C66:D66"/>
    <mergeCell ref="C67:D67"/>
    <mergeCell ref="C61:D61"/>
    <mergeCell ref="A43:D43"/>
    <mergeCell ref="C46:D46"/>
    <mergeCell ref="C47:D47"/>
    <mergeCell ref="A48:D48"/>
    <mergeCell ref="C56:D56"/>
    <mergeCell ref="C57:D57"/>
    <mergeCell ref="C58:D58"/>
    <mergeCell ref="C59:D59"/>
    <mergeCell ref="C60:D60"/>
    <mergeCell ref="C41:D41"/>
    <mergeCell ref="C42:D42"/>
    <mergeCell ref="C35:D35"/>
    <mergeCell ref="C36:D36"/>
    <mergeCell ref="C37:D37"/>
    <mergeCell ref="C38:D38"/>
    <mergeCell ref="C39:D39"/>
    <mergeCell ref="C40:D40"/>
    <mergeCell ref="C34:D34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22:D22"/>
    <mergeCell ref="A1:I1"/>
    <mergeCell ref="A17:I17"/>
    <mergeCell ref="C19:D19"/>
    <mergeCell ref="C20:D20"/>
    <mergeCell ref="C21:D21"/>
  </mergeCells>
  <pageMargins left="0" right="0" top="0" bottom="0" header="0" footer="0"/>
  <pageSetup paperSize="346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C48B-4DC0-4365-BEF3-BCDEE6F3A3B2}">
  <sheetPr>
    <tabColor rgb="FF00B050"/>
  </sheetPr>
  <dimension ref="A1:N128"/>
  <sheetViews>
    <sheetView showGridLines="0" topLeftCell="A40" workbookViewId="0">
      <selection activeCell="E55" sqref="E55"/>
    </sheetView>
  </sheetViews>
  <sheetFormatPr defaultRowHeight="15" x14ac:dyDescent="0.25"/>
  <cols>
    <col min="1" max="1" width="12.7109375" customWidth="1"/>
    <col min="2" max="2" width="14.140625" customWidth="1"/>
    <col min="3" max="3" width="9.7109375" customWidth="1"/>
    <col min="4" max="4" width="10.140625" customWidth="1"/>
    <col min="5" max="5" width="10.28515625" style="3" customWidth="1"/>
    <col min="6" max="6" width="10.42578125" customWidth="1"/>
    <col min="7" max="7" width="10.5703125" bestFit="1" customWidth="1"/>
    <col min="8" max="8" width="13.85546875" customWidth="1"/>
    <col min="9" max="9" width="13.42578125" customWidth="1"/>
    <col min="11" max="16" width="9.140625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46204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107</v>
      </c>
      <c r="C7" s="4">
        <v>30</v>
      </c>
      <c r="D7" s="4" t="s">
        <v>22</v>
      </c>
      <c r="E7" s="15">
        <v>1408.6</v>
      </c>
      <c r="F7" s="15">
        <v>44.199999999999996</v>
      </c>
      <c r="G7" s="15">
        <f>E7-F7</f>
        <v>1364.3999999999999</v>
      </c>
      <c r="H7" s="6">
        <v>46191</v>
      </c>
      <c r="I7" s="6" t="s">
        <v>20</v>
      </c>
    </row>
    <row r="8" spans="1:12" x14ac:dyDescent="0.25">
      <c r="A8" s="5" t="s">
        <v>1</v>
      </c>
      <c r="B8" s="5" t="s">
        <v>62</v>
      </c>
      <c r="C8" s="4">
        <v>8</v>
      </c>
      <c r="D8" s="4" t="s">
        <v>14</v>
      </c>
      <c r="E8" s="15">
        <v>1066.5</v>
      </c>
      <c r="F8" s="15">
        <f>G71</f>
        <v>122.2</v>
      </c>
      <c r="G8" s="15">
        <f t="shared" ref="G8:G10" si="0">E8-F8</f>
        <v>944.3</v>
      </c>
      <c r="H8" s="6">
        <v>46191</v>
      </c>
      <c r="I8" s="6" t="s">
        <v>20</v>
      </c>
    </row>
    <row r="9" spans="1:12" x14ac:dyDescent="0.25">
      <c r="A9" s="5" t="s">
        <v>1</v>
      </c>
      <c r="B9" s="5" t="s">
        <v>108</v>
      </c>
      <c r="C9" s="4">
        <v>15</v>
      </c>
      <c r="D9" s="4" t="s">
        <v>22</v>
      </c>
      <c r="E9" s="15">
        <v>732.1</v>
      </c>
      <c r="F9" s="15">
        <v>18.399999999999999</v>
      </c>
      <c r="G9" s="15">
        <f t="shared" si="0"/>
        <v>713.7</v>
      </c>
      <c r="H9" s="6">
        <v>46191</v>
      </c>
      <c r="I9" s="6" t="s">
        <v>20</v>
      </c>
    </row>
    <row r="10" spans="1:12" x14ac:dyDescent="0.25">
      <c r="A10" s="5" t="s">
        <v>1</v>
      </c>
      <c r="B10" s="5" t="s">
        <v>108</v>
      </c>
      <c r="C10" s="4">
        <v>5</v>
      </c>
      <c r="D10" s="4" t="s">
        <v>90</v>
      </c>
      <c r="E10" s="15">
        <v>68.599999999999994</v>
      </c>
      <c r="F10" s="15">
        <v>1.5</v>
      </c>
      <c r="G10" s="15">
        <f t="shared" si="0"/>
        <v>67.099999999999994</v>
      </c>
      <c r="H10" s="6">
        <v>46191</v>
      </c>
      <c r="I10" s="6" t="s">
        <v>20</v>
      </c>
    </row>
    <row r="11" spans="1:12" ht="4.5" customHeight="1" x14ac:dyDescent="0.25"/>
    <row r="12" spans="1:12" x14ac:dyDescent="0.25">
      <c r="A12" s="19" t="s">
        <v>16</v>
      </c>
    </row>
    <row r="13" spans="1:12" ht="10.5" customHeight="1" x14ac:dyDescent="0.25">
      <c r="A13" s="7" t="s">
        <v>98</v>
      </c>
    </row>
    <row r="14" spans="1:12" ht="12.75" customHeight="1" x14ac:dyDescent="0.25">
      <c r="A14" s="7" t="s">
        <v>17</v>
      </c>
    </row>
    <row r="15" spans="1:12" ht="5.25" customHeight="1" x14ac:dyDescent="0.25"/>
    <row r="16" spans="1:12" x14ac:dyDescent="0.25">
      <c r="A16" s="72" t="s">
        <v>28</v>
      </c>
      <c r="B16" s="72"/>
      <c r="C16" s="72"/>
      <c r="D16" s="72"/>
      <c r="E16" s="72"/>
      <c r="F16" s="72"/>
      <c r="G16" s="72"/>
      <c r="H16" s="72"/>
      <c r="I16" s="72"/>
    </row>
    <row r="17" spans="1:9" ht="23.25" customHeight="1" thickBot="1" x14ac:dyDescent="0.3">
      <c r="A17" s="1" t="s">
        <v>53</v>
      </c>
      <c r="B17" s="1" t="s">
        <v>89</v>
      </c>
      <c r="C17" s="1"/>
    </row>
    <row r="18" spans="1:9" ht="16.5" thickTop="1" thickBot="1" x14ac:dyDescent="0.3">
      <c r="A18" s="9" t="s">
        <v>7</v>
      </c>
      <c r="B18" s="9" t="s">
        <v>2</v>
      </c>
      <c r="C18" s="73" t="s">
        <v>6</v>
      </c>
      <c r="D18" s="73"/>
      <c r="E18" s="10" t="s">
        <v>25</v>
      </c>
      <c r="F18" s="10" t="s">
        <v>3</v>
      </c>
      <c r="G18" s="10" t="s">
        <v>4</v>
      </c>
      <c r="H18" s="10" t="s">
        <v>5</v>
      </c>
      <c r="I18" s="11" t="s">
        <v>26</v>
      </c>
    </row>
    <row r="19" spans="1:9" ht="15.75" thickTop="1" x14ac:dyDescent="0.25">
      <c r="A19" t="s">
        <v>23</v>
      </c>
      <c r="B19" t="s">
        <v>41</v>
      </c>
      <c r="C19" s="74" t="s">
        <v>22</v>
      </c>
      <c r="D19" s="74"/>
      <c r="E19" s="3">
        <v>1</v>
      </c>
      <c r="F19" s="15">
        <v>41.5</v>
      </c>
      <c r="G19" s="15">
        <v>1.5</v>
      </c>
      <c r="H19" s="15">
        <f>F19-G19</f>
        <v>40</v>
      </c>
      <c r="I19" s="4" t="s">
        <v>20</v>
      </c>
    </row>
    <row r="20" spans="1:9" x14ac:dyDescent="0.25">
      <c r="A20" t="s">
        <v>23</v>
      </c>
      <c r="B20" t="s">
        <v>41</v>
      </c>
      <c r="C20" s="70" t="s">
        <v>22</v>
      </c>
      <c r="D20" s="70"/>
      <c r="E20" s="3">
        <f>E19+1</f>
        <v>2</v>
      </c>
      <c r="F20" s="15">
        <v>45.7</v>
      </c>
      <c r="G20" s="15">
        <v>1.3</v>
      </c>
      <c r="H20" s="15">
        <f t="shared" ref="H20:H36" si="1">F20-G20</f>
        <v>44.400000000000006</v>
      </c>
      <c r="I20" s="4" t="s">
        <v>20</v>
      </c>
    </row>
    <row r="21" spans="1:9" x14ac:dyDescent="0.25">
      <c r="A21" t="s">
        <v>23</v>
      </c>
      <c r="B21" t="s">
        <v>41</v>
      </c>
      <c r="C21" s="70" t="s">
        <v>22</v>
      </c>
      <c r="D21" s="70"/>
      <c r="E21" s="3">
        <f t="shared" ref="E21:E46" si="2">E20+1</f>
        <v>3</v>
      </c>
      <c r="F21" s="15">
        <v>52.8</v>
      </c>
      <c r="G21" s="15">
        <v>1.3</v>
      </c>
      <c r="H21" s="15">
        <f t="shared" si="1"/>
        <v>51.5</v>
      </c>
      <c r="I21" s="4" t="s">
        <v>20</v>
      </c>
    </row>
    <row r="22" spans="1:9" x14ac:dyDescent="0.25">
      <c r="A22" t="s">
        <v>23</v>
      </c>
      <c r="B22" t="s">
        <v>41</v>
      </c>
      <c r="C22" s="70" t="s">
        <v>22</v>
      </c>
      <c r="D22" s="70"/>
      <c r="E22" s="3">
        <f t="shared" si="2"/>
        <v>4</v>
      </c>
      <c r="F22" s="15">
        <v>47.6</v>
      </c>
      <c r="G22" s="15">
        <v>1.7</v>
      </c>
      <c r="H22" s="15">
        <f t="shared" si="1"/>
        <v>45.9</v>
      </c>
      <c r="I22" s="4" t="s">
        <v>20</v>
      </c>
    </row>
    <row r="23" spans="1:9" x14ac:dyDescent="0.25">
      <c r="A23" t="s">
        <v>23</v>
      </c>
      <c r="B23" t="s">
        <v>41</v>
      </c>
      <c r="C23" s="70" t="s">
        <v>22</v>
      </c>
      <c r="D23" s="70"/>
      <c r="E23" s="3">
        <f t="shared" si="2"/>
        <v>5</v>
      </c>
      <c r="F23" s="15">
        <v>44.9</v>
      </c>
      <c r="G23" s="15">
        <v>1.7</v>
      </c>
      <c r="H23" s="15">
        <f t="shared" si="1"/>
        <v>43.199999999999996</v>
      </c>
      <c r="I23" s="4" t="s">
        <v>20</v>
      </c>
    </row>
    <row r="24" spans="1:9" x14ac:dyDescent="0.25">
      <c r="A24" t="s">
        <v>23</v>
      </c>
      <c r="B24" t="s">
        <v>41</v>
      </c>
      <c r="C24" s="70" t="s">
        <v>22</v>
      </c>
      <c r="D24" s="70"/>
      <c r="E24" s="3">
        <f t="shared" si="2"/>
        <v>6</v>
      </c>
      <c r="F24" s="15">
        <v>49.2</v>
      </c>
      <c r="G24" s="15">
        <v>1.5</v>
      </c>
      <c r="H24" s="15">
        <f t="shared" si="1"/>
        <v>47.7</v>
      </c>
      <c r="I24" s="4" t="s">
        <v>20</v>
      </c>
    </row>
    <row r="25" spans="1:9" x14ac:dyDescent="0.25">
      <c r="A25" t="s">
        <v>23</v>
      </c>
      <c r="B25" t="s">
        <v>41</v>
      </c>
      <c r="C25" s="70" t="s">
        <v>22</v>
      </c>
      <c r="D25" s="70"/>
      <c r="E25" s="3">
        <f t="shared" si="2"/>
        <v>7</v>
      </c>
      <c r="F25" s="15">
        <v>49.7</v>
      </c>
      <c r="G25" s="15">
        <v>1.5</v>
      </c>
      <c r="H25" s="15">
        <f t="shared" si="1"/>
        <v>48.2</v>
      </c>
      <c r="I25" s="4" t="s">
        <v>20</v>
      </c>
    </row>
    <row r="26" spans="1:9" x14ac:dyDescent="0.25">
      <c r="A26" t="s">
        <v>23</v>
      </c>
      <c r="B26" t="s">
        <v>41</v>
      </c>
      <c r="C26" s="70" t="s">
        <v>22</v>
      </c>
      <c r="D26" s="70"/>
      <c r="E26" s="3">
        <f t="shared" si="2"/>
        <v>8</v>
      </c>
      <c r="F26" s="15">
        <v>49.8</v>
      </c>
      <c r="G26" s="15">
        <v>1.3</v>
      </c>
      <c r="H26" s="15">
        <f t="shared" si="1"/>
        <v>48.5</v>
      </c>
      <c r="I26" s="4" t="s">
        <v>20</v>
      </c>
    </row>
    <row r="27" spans="1:9" x14ac:dyDescent="0.25">
      <c r="A27" t="s">
        <v>23</v>
      </c>
      <c r="B27" t="s">
        <v>41</v>
      </c>
      <c r="C27" s="70" t="s">
        <v>22</v>
      </c>
      <c r="D27" s="70"/>
      <c r="E27" s="3">
        <f t="shared" si="2"/>
        <v>9</v>
      </c>
      <c r="F27" s="15">
        <v>46.8</v>
      </c>
      <c r="G27" s="15">
        <v>1.6</v>
      </c>
      <c r="H27" s="15">
        <f t="shared" si="1"/>
        <v>45.199999999999996</v>
      </c>
      <c r="I27" s="4" t="s">
        <v>20</v>
      </c>
    </row>
    <row r="28" spans="1:9" x14ac:dyDescent="0.25">
      <c r="A28" t="s">
        <v>23</v>
      </c>
      <c r="B28" t="s">
        <v>41</v>
      </c>
      <c r="C28" s="70" t="s">
        <v>22</v>
      </c>
      <c r="D28" s="70"/>
      <c r="E28" s="3">
        <f t="shared" si="2"/>
        <v>10</v>
      </c>
      <c r="F28" s="15">
        <v>46.7</v>
      </c>
      <c r="G28" s="15">
        <v>1.4</v>
      </c>
      <c r="H28" s="15">
        <f t="shared" si="1"/>
        <v>45.300000000000004</v>
      </c>
      <c r="I28" s="4" t="s">
        <v>20</v>
      </c>
    </row>
    <row r="29" spans="1:9" x14ac:dyDescent="0.25">
      <c r="A29" t="s">
        <v>23</v>
      </c>
      <c r="B29" t="s">
        <v>41</v>
      </c>
      <c r="C29" s="70" t="s">
        <v>22</v>
      </c>
      <c r="D29" s="70"/>
      <c r="E29" s="3">
        <f t="shared" si="2"/>
        <v>11</v>
      </c>
      <c r="F29" s="15">
        <v>48.6</v>
      </c>
      <c r="G29" s="15">
        <v>1.5</v>
      </c>
      <c r="H29" s="15">
        <f t="shared" si="1"/>
        <v>47.1</v>
      </c>
      <c r="I29" s="4" t="s">
        <v>20</v>
      </c>
    </row>
    <row r="30" spans="1:9" x14ac:dyDescent="0.25">
      <c r="A30" t="s">
        <v>23</v>
      </c>
      <c r="B30" t="s">
        <v>41</v>
      </c>
      <c r="C30" s="70" t="s">
        <v>22</v>
      </c>
      <c r="D30" s="70"/>
      <c r="E30" s="3">
        <f t="shared" si="2"/>
        <v>12</v>
      </c>
      <c r="F30" s="15">
        <v>49</v>
      </c>
      <c r="G30" s="15">
        <v>1.4</v>
      </c>
      <c r="H30" s="15">
        <f t="shared" si="1"/>
        <v>47.6</v>
      </c>
      <c r="I30" s="4" t="s">
        <v>20</v>
      </c>
    </row>
    <row r="31" spans="1:9" x14ac:dyDescent="0.25">
      <c r="A31" t="s">
        <v>23</v>
      </c>
      <c r="B31" t="s">
        <v>41</v>
      </c>
      <c r="C31" s="70" t="s">
        <v>22</v>
      </c>
      <c r="D31" s="70"/>
      <c r="E31" s="3">
        <f t="shared" si="2"/>
        <v>13</v>
      </c>
      <c r="F31" s="15">
        <v>46.1</v>
      </c>
      <c r="G31" s="15">
        <v>1.5</v>
      </c>
      <c r="H31" s="15">
        <f t="shared" si="1"/>
        <v>44.6</v>
      </c>
      <c r="I31" s="4" t="s">
        <v>20</v>
      </c>
    </row>
    <row r="32" spans="1:9" x14ac:dyDescent="0.25">
      <c r="A32" t="s">
        <v>23</v>
      </c>
      <c r="B32" t="s">
        <v>41</v>
      </c>
      <c r="C32" s="70" t="s">
        <v>22</v>
      </c>
      <c r="D32" s="70"/>
      <c r="E32" s="3">
        <f t="shared" si="2"/>
        <v>14</v>
      </c>
      <c r="F32" s="15">
        <v>47.2</v>
      </c>
      <c r="G32" s="15">
        <v>1.2</v>
      </c>
      <c r="H32" s="15">
        <f t="shared" si="1"/>
        <v>46</v>
      </c>
      <c r="I32" s="4" t="s">
        <v>20</v>
      </c>
    </row>
    <row r="33" spans="1:9" x14ac:dyDescent="0.25">
      <c r="A33" t="s">
        <v>23</v>
      </c>
      <c r="B33" t="s">
        <v>41</v>
      </c>
      <c r="C33" s="70" t="s">
        <v>22</v>
      </c>
      <c r="D33" s="70"/>
      <c r="E33" s="3">
        <f t="shared" si="2"/>
        <v>15</v>
      </c>
      <c r="F33" s="15">
        <v>47.2</v>
      </c>
      <c r="G33" s="15">
        <v>1.4</v>
      </c>
      <c r="H33" s="15">
        <f t="shared" si="1"/>
        <v>45.800000000000004</v>
      </c>
      <c r="I33" s="4" t="s">
        <v>20</v>
      </c>
    </row>
    <row r="34" spans="1:9" x14ac:dyDescent="0.25">
      <c r="A34" t="s">
        <v>23</v>
      </c>
      <c r="B34" t="s">
        <v>41</v>
      </c>
      <c r="C34" s="70" t="s">
        <v>22</v>
      </c>
      <c r="D34" s="70"/>
      <c r="E34" s="3">
        <f t="shared" si="2"/>
        <v>16</v>
      </c>
      <c r="F34" s="15">
        <v>47</v>
      </c>
      <c r="G34" s="15">
        <v>1.4</v>
      </c>
      <c r="H34" s="15">
        <f t="shared" si="1"/>
        <v>45.6</v>
      </c>
      <c r="I34" s="4" t="s">
        <v>20</v>
      </c>
    </row>
    <row r="35" spans="1:9" x14ac:dyDescent="0.25">
      <c r="A35" t="s">
        <v>23</v>
      </c>
      <c r="B35" t="s">
        <v>41</v>
      </c>
      <c r="C35" s="70" t="s">
        <v>22</v>
      </c>
      <c r="D35" s="70"/>
      <c r="E35" s="3">
        <f t="shared" si="2"/>
        <v>17</v>
      </c>
      <c r="F35" s="15">
        <v>49.3</v>
      </c>
      <c r="G35" s="15">
        <v>1.7</v>
      </c>
      <c r="H35" s="15">
        <f t="shared" si="1"/>
        <v>47.599999999999994</v>
      </c>
      <c r="I35" s="4" t="s">
        <v>20</v>
      </c>
    </row>
    <row r="36" spans="1:9" x14ac:dyDescent="0.25">
      <c r="A36" t="s">
        <v>23</v>
      </c>
      <c r="B36" t="s">
        <v>41</v>
      </c>
      <c r="C36" s="70" t="s">
        <v>22</v>
      </c>
      <c r="D36" s="70"/>
      <c r="E36" s="3">
        <f t="shared" si="2"/>
        <v>18</v>
      </c>
      <c r="F36" s="15">
        <v>45.5</v>
      </c>
      <c r="G36" s="15">
        <v>1.3</v>
      </c>
      <c r="H36" s="15">
        <f t="shared" si="1"/>
        <v>44.2</v>
      </c>
      <c r="I36" s="4" t="s">
        <v>20</v>
      </c>
    </row>
    <row r="37" spans="1:9" x14ac:dyDescent="0.25">
      <c r="A37" t="s">
        <v>23</v>
      </c>
      <c r="B37" t="s">
        <v>41</v>
      </c>
      <c r="C37" s="70" t="s">
        <v>22</v>
      </c>
      <c r="D37" s="70"/>
      <c r="E37" s="3">
        <f t="shared" si="2"/>
        <v>19</v>
      </c>
      <c r="F37" s="15">
        <v>51.2</v>
      </c>
      <c r="G37" s="15">
        <v>1.7</v>
      </c>
      <c r="H37" s="15">
        <f t="shared" ref="H37:H43" si="3">F37-G37</f>
        <v>49.5</v>
      </c>
      <c r="I37" s="4" t="s">
        <v>20</v>
      </c>
    </row>
    <row r="38" spans="1:9" x14ac:dyDescent="0.25">
      <c r="A38" t="s">
        <v>23</v>
      </c>
      <c r="B38" t="s">
        <v>41</v>
      </c>
      <c r="C38" s="70" t="s">
        <v>22</v>
      </c>
      <c r="D38" s="70"/>
      <c r="E38" s="3">
        <f t="shared" si="2"/>
        <v>20</v>
      </c>
      <c r="F38" s="15">
        <v>42.3</v>
      </c>
      <c r="G38" s="15">
        <v>1.5</v>
      </c>
      <c r="H38" s="15">
        <f t="shared" si="3"/>
        <v>40.799999999999997</v>
      </c>
      <c r="I38" s="4" t="s">
        <v>20</v>
      </c>
    </row>
    <row r="39" spans="1:9" x14ac:dyDescent="0.25">
      <c r="A39" t="s">
        <v>23</v>
      </c>
      <c r="B39" t="s">
        <v>41</v>
      </c>
      <c r="C39" s="70" t="s">
        <v>22</v>
      </c>
      <c r="D39" s="70"/>
      <c r="E39" s="3">
        <f>E38+1</f>
        <v>21</v>
      </c>
      <c r="F39" s="15">
        <v>47.7</v>
      </c>
      <c r="G39" s="15">
        <v>1.7</v>
      </c>
      <c r="H39" s="15">
        <f t="shared" si="3"/>
        <v>46</v>
      </c>
      <c r="I39" s="4" t="s">
        <v>20</v>
      </c>
    </row>
    <row r="40" spans="1:9" x14ac:dyDescent="0.25">
      <c r="A40" t="s">
        <v>23</v>
      </c>
      <c r="B40" t="s">
        <v>41</v>
      </c>
      <c r="C40" s="70" t="s">
        <v>22</v>
      </c>
      <c r="D40" s="70"/>
      <c r="E40" s="3">
        <f t="shared" si="2"/>
        <v>22</v>
      </c>
      <c r="F40" s="15">
        <v>46.3</v>
      </c>
      <c r="G40" s="15">
        <v>1.4</v>
      </c>
      <c r="H40" s="15">
        <f t="shared" si="3"/>
        <v>44.9</v>
      </c>
      <c r="I40" s="4" t="s">
        <v>20</v>
      </c>
    </row>
    <row r="41" spans="1:9" x14ac:dyDescent="0.25">
      <c r="A41" t="s">
        <v>23</v>
      </c>
      <c r="B41" t="s">
        <v>41</v>
      </c>
      <c r="C41" s="70" t="s">
        <v>22</v>
      </c>
      <c r="D41" s="70"/>
      <c r="E41" s="3">
        <f t="shared" si="2"/>
        <v>23</v>
      </c>
      <c r="F41" s="15">
        <v>51.7</v>
      </c>
      <c r="G41" s="15">
        <v>1.3</v>
      </c>
      <c r="H41" s="15">
        <f t="shared" si="3"/>
        <v>50.400000000000006</v>
      </c>
      <c r="I41" s="4" t="s">
        <v>20</v>
      </c>
    </row>
    <row r="42" spans="1:9" x14ac:dyDescent="0.25">
      <c r="A42" t="s">
        <v>23</v>
      </c>
      <c r="B42" t="s">
        <v>41</v>
      </c>
      <c r="C42" s="70" t="s">
        <v>22</v>
      </c>
      <c r="D42" s="70"/>
      <c r="E42" s="3">
        <f t="shared" si="2"/>
        <v>24</v>
      </c>
      <c r="F42" s="15">
        <v>46.1</v>
      </c>
      <c r="G42" s="15">
        <v>1.1000000000000001</v>
      </c>
      <c r="H42" s="15">
        <f t="shared" si="3"/>
        <v>45</v>
      </c>
      <c r="I42" s="4" t="s">
        <v>20</v>
      </c>
    </row>
    <row r="43" spans="1:9" x14ac:dyDescent="0.25">
      <c r="A43" t="s">
        <v>23</v>
      </c>
      <c r="B43" t="s">
        <v>41</v>
      </c>
      <c r="C43" s="70" t="s">
        <v>22</v>
      </c>
      <c r="D43" s="70"/>
      <c r="E43" s="3">
        <f t="shared" si="2"/>
        <v>25</v>
      </c>
      <c r="F43" s="15">
        <v>40.5</v>
      </c>
      <c r="G43" s="15">
        <v>1.5</v>
      </c>
      <c r="H43" s="15">
        <f t="shared" si="3"/>
        <v>39</v>
      </c>
      <c r="I43" s="4" t="s">
        <v>20</v>
      </c>
    </row>
    <row r="44" spans="1:9" x14ac:dyDescent="0.25">
      <c r="A44" t="s">
        <v>23</v>
      </c>
      <c r="B44" t="s">
        <v>41</v>
      </c>
      <c r="C44" s="70" t="s">
        <v>22</v>
      </c>
      <c r="D44" s="70"/>
      <c r="E44" s="3">
        <f t="shared" si="2"/>
        <v>26</v>
      </c>
      <c r="F44" s="15">
        <v>47.8</v>
      </c>
      <c r="G44" s="15">
        <v>1.7</v>
      </c>
      <c r="H44" s="15">
        <f t="shared" ref="H44:H48" si="4">F44-G44</f>
        <v>46.099999999999994</v>
      </c>
      <c r="I44" s="4" t="s">
        <v>20</v>
      </c>
    </row>
    <row r="45" spans="1:9" x14ac:dyDescent="0.25">
      <c r="A45" t="s">
        <v>23</v>
      </c>
      <c r="B45" t="s">
        <v>41</v>
      </c>
      <c r="C45" s="70" t="s">
        <v>22</v>
      </c>
      <c r="D45" s="70"/>
      <c r="E45" s="3">
        <f t="shared" si="2"/>
        <v>27</v>
      </c>
      <c r="F45" s="15">
        <v>40.700000000000003</v>
      </c>
      <c r="G45" s="15">
        <v>1.4</v>
      </c>
      <c r="H45" s="15">
        <f t="shared" si="4"/>
        <v>39.300000000000004</v>
      </c>
      <c r="I45" s="4" t="s">
        <v>20</v>
      </c>
    </row>
    <row r="46" spans="1:9" x14ac:dyDescent="0.25">
      <c r="A46" t="s">
        <v>23</v>
      </c>
      <c r="B46" t="s">
        <v>41</v>
      </c>
      <c r="C46" s="70" t="s">
        <v>22</v>
      </c>
      <c r="D46" s="70"/>
      <c r="E46" s="3">
        <f t="shared" si="2"/>
        <v>28</v>
      </c>
      <c r="F46" s="15">
        <v>44.2</v>
      </c>
      <c r="G46" s="15">
        <v>1.5</v>
      </c>
      <c r="H46" s="15">
        <f t="shared" si="4"/>
        <v>42.7</v>
      </c>
      <c r="I46" s="4" t="s">
        <v>20</v>
      </c>
    </row>
    <row r="47" spans="1:9" x14ac:dyDescent="0.25">
      <c r="A47" t="s">
        <v>23</v>
      </c>
      <c r="B47" t="s">
        <v>41</v>
      </c>
      <c r="C47" s="70" t="s">
        <v>22</v>
      </c>
      <c r="D47" s="70"/>
      <c r="E47" s="3">
        <f t="shared" ref="E47:E48" si="5">E46+1</f>
        <v>29</v>
      </c>
      <c r="F47" s="15">
        <v>51.6</v>
      </c>
      <c r="G47" s="15">
        <v>1.5</v>
      </c>
      <c r="H47" s="15">
        <f t="shared" si="4"/>
        <v>50.1</v>
      </c>
      <c r="I47" s="4" t="s">
        <v>20</v>
      </c>
    </row>
    <row r="48" spans="1:9" ht="15.75" thickBot="1" x14ac:dyDescent="0.3">
      <c r="A48" t="s">
        <v>23</v>
      </c>
      <c r="B48" t="s">
        <v>41</v>
      </c>
      <c r="C48" s="70" t="s">
        <v>22</v>
      </c>
      <c r="D48" s="70"/>
      <c r="E48" s="3">
        <f t="shared" si="5"/>
        <v>30</v>
      </c>
      <c r="F48" s="15">
        <v>48.7</v>
      </c>
      <c r="G48" s="15">
        <v>1.7</v>
      </c>
      <c r="H48" s="15">
        <f t="shared" si="4"/>
        <v>47</v>
      </c>
      <c r="I48" s="4" t="s">
        <v>20</v>
      </c>
    </row>
    <row r="49" spans="1:12" ht="16.5" thickTop="1" thickBot="1" x14ac:dyDescent="0.3">
      <c r="A49" s="75" t="s">
        <v>27</v>
      </c>
      <c r="B49" s="75"/>
      <c r="C49" s="75"/>
      <c r="D49" s="75"/>
      <c r="E49" s="12">
        <f>E48</f>
        <v>30</v>
      </c>
      <c r="F49" s="14">
        <f>SUM(F19:F48)</f>
        <v>1413.4</v>
      </c>
      <c r="G49" s="14">
        <f>SUM(G19:G48)</f>
        <v>44.199999999999996</v>
      </c>
      <c r="H49" s="14">
        <f>SUM(H19:H48)</f>
        <v>1369.1999999999998</v>
      </c>
      <c r="I49" s="13"/>
      <c r="K49" s="27">
        <f>E7-F49</f>
        <v>-4.8000000000001819</v>
      </c>
    </row>
    <row r="50" spans="1:12" ht="6.75" customHeight="1" thickTop="1" x14ac:dyDescent="0.25"/>
    <row r="51" spans="1:12" ht="15.75" thickBot="1" x14ac:dyDescent="0.3">
      <c r="A51" s="1" t="s">
        <v>29</v>
      </c>
    </row>
    <row r="52" spans="1:12" ht="30" customHeight="1" thickTop="1" thickBot="1" x14ac:dyDescent="0.3">
      <c r="A52" s="9" t="s">
        <v>7</v>
      </c>
      <c r="B52" s="9" t="s">
        <v>2</v>
      </c>
      <c r="C52" s="73" t="s">
        <v>6</v>
      </c>
      <c r="D52" s="73"/>
      <c r="E52" s="11" t="s">
        <v>30</v>
      </c>
      <c r="F52" s="11" t="s">
        <v>31</v>
      </c>
      <c r="G52" s="11" t="s">
        <v>32</v>
      </c>
      <c r="H52" s="11" t="s">
        <v>33</v>
      </c>
      <c r="I52" s="11" t="s">
        <v>37</v>
      </c>
    </row>
    <row r="53" spans="1:12" ht="16.5" thickTop="1" thickBot="1" x14ac:dyDescent="0.3">
      <c r="A53" t="s">
        <v>23</v>
      </c>
      <c r="B53" t="str">
        <f>B48</f>
        <v>LOMBOK '24</v>
      </c>
      <c r="C53" s="76" t="s">
        <v>22</v>
      </c>
      <c r="D53" s="76"/>
      <c r="E53" s="15">
        <v>1007</v>
      </c>
      <c r="F53" s="15">
        <v>467.9</v>
      </c>
      <c r="G53" s="15">
        <v>16.399999999999999</v>
      </c>
      <c r="H53" s="15">
        <f>IF(E53="","",(H49-E53-F53-G53))</f>
        <v>-122.10000000000016</v>
      </c>
      <c r="I53" s="15">
        <f>IF(E53="","",SUM(E53:H53))</f>
        <v>1369.2</v>
      </c>
      <c r="K53" s="27">
        <f>1007-E53</f>
        <v>0</v>
      </c>
      <c r="L53">
        <f>342.9+125</f>
        <v>467.9</v>
      </c>
    </row>
    <row r="54" spans="1:12" ht="16.5" thickTop="1" thickBot="1" x14ac:dyDescent="0.3">
      <c r="A54" s="77" t="s">
        <v>52</v>
      </c>
      <c r="B54" s="77"/>
      <c r="C54" s="77"/>
      <c r="D54" s="77"/>
      <c r="E54" s="38">
        <f>IF(E53="","",E53/$H49)</f>
        <v>0.73546596552731536</v>
      </c>
      <c r="F54" s="54">
        <f>IF(F53="","",F53/$H49)</f>
        <v>0.34173239848086479</v>
      </c>
      <c r="G54" s="54">
        <f t="shared" ref="G54:H54" si="6">IF(G53="","",G53/$H49)</f>
        <v>1.1977797253870874E-2</v>
      </c>
      <c r="H54" s="54">
        <f t="shared" si="6"/>
        <v>-8.9176161262050968E-2</v>
      </c>
      <c r="I54" s="17">
        <f>IF(I53="","",SUM(E54:H54))</f>
        <v>1</v>
      </c>
    </row>
    <row r="55" spans="1:12" ht="15.75" thickTop="1" x14ac:dyDescent="0.25">
      <c r="A55" s="19" t="s">
        <v>16</v>
      </c>
    </row>
    <row r="56" spans="1:12" ht="10.5" customHeight="1" x14ac:dyDescent="0.25">
      <c r="A56" s="7" t="s">
        <v>36</v>
      </c>
    </row>
    <row r="57" spans="1:12" ht="10.5" customHeight="1" x14ac:dyDescent="0.25">
      <c r="A57" s="7" t="s">
        <v>35</v>
      </c>
    </row>
    <row r="58" spans="1:12" ht="10.5" customHeight="1" x14ac:dyDescent="0.25">
      <c r="A58" s="7" t="s">
        <v>34</v>
      </c>
    </row>
    <row r="59" spans="1:12" ht="10.5" customHeight="1" x14ac:dyDescent="0.25">
      <c r="A59" s="7" t="s">
        <v>50</v>
      </c>
    </row>
    <row r="60" spans="1:12" ht="6" customHeight="1" x14ac:dyDescent="0.25"/>
    <row r="61" spans="1:12" ht="15.75" thickBot="1" x14ac:dyDescent="0.3">
      <c r="A61" s="1" t="s">
        <v>54</v>
      </c>
      <c r="B61" s="1" t="s">
        <v>86</v>
      </c>
      <c r="C61" s="1"/>
    </row>
    <row r="62" spans="1:12" ht="16.5" thickTop="1" thickBot="1" x14ac:dyDescent="0.3">
      <c r="A62" s="9" t="s">
        <v>7</v>
      </c>
      <c r="B62" s="9" t="s">
        <v>2</v>
      </c>
      <c r="C62" s="73" t="s">
        <v>6</v>
      </c>
      <c r="D62" s="73"/>
      <c r="E62" s="10" t="s">
        <v>25</v>
      </c>
      <c r="F62" s="10" t="s">
        <v>3</v>
      </c>
      <c r="G62" s="10" t="s">
        <v>4</v>
      </c>
      <c r="H62" s="10" t="s">
        <v>5</v>
      </c>
      <c r="I62" s="11" t="s">
        <v>26</v>
      </c>
    </row>
    <row r="63" spans="1:12" ht="15.75" thickTop="1" x14ac:dyDescent="0.25">
      <c r="A63" t="s">
        <v>23</v>
      </c>
      <c r="B63" t="s">
        <v>62</v>
      </c>
      <c r="C63" s="74" t="s">
        <v>14</v>
      </c>
      <c r="D63" s="74"/>
      <c r="E63" s="3">
        <v>1</v>
      </c>
      <c r="F63" s="15">
        <v>133.30000000000001</v>
      </c>
      <c r="G63" s="15">
        <v>15.7</v>
      </c>
      <c r="H63" s="15">
        <f>F63-G63</f>
        <v>117.60000000000001</v>
      </c>
      <c r="I63" s="4" t="s">
        <v>20</v>
      </c>
    </row>
    <row r="64" spans="1:12" x14ac:dyDescent="0.25">
      <c r="A64" t="s">
        <v>23</v>
      </c>
      <c r="B64" t="s">
        <v>62</v>
      </c>
      <c r="C64" s="70" t="s">
        <v>14</v>
      </c>
      <c r="D64" s="70"/>
      <c r="E64" s="3">
        <f>E63+1</f>
        <v>2</v>
      </c>
      <c r="F64" s="15">
        <v>133.30000000000001</v>
      </c>
      <c r="G64" s="15">
        <v>15.5</v>
      </c>
      <c r="H64" s="15">
        <f t="shared" ref="H64:H70" si="7">F64-G64</f>
        <v>117.80000000000001</v>
      </c>
      <c r="I64" s="4" t="s">
        <v>20</v>
      </c>
    </row>
    <row r="65" spans="1:11" x14ac:dyDescent="0.25">
      <c r="A65" t="s">
        <v>23</v>
      </c>
      <c r="B65" t="s">
        <v>62</v>
      </c>
      <c r="C65" s="70" t="s">
        <v>14</v>
      </c>
      <c r="D65" s="70"/>
      <c r="E65" s="3">
        <f t="shared" ref="E65:E70" si="8">E64+1</f>
        <v>3</v>
      </c>
      <c r="F65" s="15">
        <v>133.30000000000001</v>
      </c>
      <c r="G65" s="15">
        <v>15.8</v>
      </c>
      <c r="H65" s="15">
        <f t="shared" si="7"/>
        <v>117.50000000000001</v>
      </c>
      <c r="I65" s="4" t="s">
        <v>20</v>
      </c>
    </row>
    <row r="66" spans="1:11" x14ac:dyDescent="0.25">
      <c r="A66" t="s">
        <v>23</v>
      </c>
      <c r="B66" t="s">
        <v>62</v>
      </c>
      <c r="C66" s="70" t="s">
        <v>14</v>
      </c>
      <c r="D66" s="70"/>
      <c r="E66" s="3">
        <f t="shared" si="8"/>
        <v>4</v>
      </c>
      <c r="F66" s="15">
        <v>133.30000000000001</v>
      </c>
      <c r="G66" s="15">
        <v>14.3</v>
      </c>
      <c r="H66" s="15">
        <f t="shared" si="7"/>
        <v>119.00000000000001</v>
      </c>
      <c r="I66" s="4" t="s">
        <v>20</v>
      </c>
    </row>
    <row r="67" spans="1:11" x14ac:dyDescent="0.25">
      <c r="A67" t="s">
        <v>23</v>
      </c>
      <c r="B67" t="s">
        <v>62</v>
      </c>
      <c r="C67" s="70" t="s">
        <v>14</v>
      </c>
      <c r="D67" s="70"/>
      <c r="E67" s="3">
        <f t="shared" si="8"/>
        <v>5</v>
      </c>
      <c r="F67" s="15">
        <v>133.30000000000001</v>
      </c>
      <c r="G67" s="15">
        <v>14.9</v>
      </c>
      <c r="H67" s="15">
        <f t="shared" si="7"/>
        <v>118.4</v>
      </c>
      <c r="I67" s="4" t="s">
        <v>20</v>
      </c>
    </row>
    <row r="68" spans="1:11" x14ac:dyDescent="0.25">
      <c r="A68" t="s">
        <v>23</v>
      </c>
      <c r="B68" t="s">
        <v>62</v>
      </c>
      <c r="C68" s="70" t="s">
        <v>14</v>
      </c>
      <c r="D68" s="70"/>
      <c r="E68" s="3">
        <f t="shared" si="8"/>
        <v>6</v>
      </c>
      <c r="F68" s="15">
        <v>133.30000000000001</v>
      </c>
      <c r="G68" s="15">
        <v>14.7</v>
      </c>
      <c r="H68" s="15">
        <f t="shared" si="7"/>
        <v>118.60000000000001</v>
      </c>
      <c r="I68" s="4" t="s">
        <v>20</v>
      </c>
    </row>
    <row r="69" spans="1:11" x14ac:dyDescent="0.25">
      <c r="A69" t="s">
        <v>23</v>
      </c>
      <c r="B69" t="s">
        <v>62</v>
      </c>
      <c r="C69" s="70" t="s">
        <v>14</v>
      </c>
      <c r="D69" s="70"/>
      <c r="E69" s="3">
        <f t="shared" si="8"/>
        <v>7</v>
      </c>
      <c r="F69" s="15">
        <v>133.30000000000001</v>
      </c>
      <c r="G69" s="15">
        <v>15.8</v>
      </c>
      <c r="H69" s="15">
        <f t="shared" si="7"/>
        <v>117.50000000000001</v>
      </c>
      <c r="I69" s="4" t="s">
        <v>20</v>
      </c>
    </row>
    <row r="70" spans="1:11" ht="15.75" thickBot="1" x14ac:dyDescent="0.3">
      <c r="A70" t="s">
        <v>23</v>
      </c>
      <c r="B70" t="s">
        <v>62</v>
      </c>
      <c r="C70" s="78" t="s">
        <v>14</v>
      </c>
      <c r="D70" s="78"/>
      <c r="E70" s="3">
        <f t="shared" si="8"/>
        <v>8</v>
      </c>
      <c r="F70" s="15">
        <v>133.30000000000001</v>
      </c>
      <c r="G70" s="15">
        <v>15.5</v>
      </c>
      <c r="H70" s="15">
        <f t="shared" si="7"/>
        <v>117.80000000000001</v>
      </c>
      <c r="I70" s="4" t="s">
        <v>20</v>
      </c>
    </row>
    <row r="71" spans="1:11" ht="16.5" thickTop="1" thickBot="1" x14ac:dyDescent="0.3">
      <c r="A71" s="75" t="s">
        <v>27</v>
      </c>
      <c r="B71" s="75"/>
      <c r="C71" s="75"/>
      <c r="D71" s="75"/>
      <c r="E71" s="12">
        <f>E70</f>
        <v>8</v>
      </c>
      <c r="F71" s="14">
        <f>SUM(F63:F70)</f>
        <v>1066.3999999999999</v>
      </c>
      <c r="G71" s="14">
        <f>SUM(G63:G70)</f>
        <v>122.2</v>
      </c>
      <c r="H71" s="14">
        <f>SUM(H63:H70)</f>
        <v>944.2</v>
      </c>
      <c r="I71" s="13"/>
    </row>
    <row r="72" spans="1:11" ht="6" customHeight="1" thickTop="1" x14ac:dyDescent="0.25"/>
    <row r="73" spans="1:11" ht="15.75" thickBot="1" x14ac:dyDescent="0.3">
      <c r="A73" s="1" t="s">
        <v>29</v>
      </c>
    </row>
    <row r="74" spans="1:11" ht="33" customHeight="1" thickTop="1" thickBot="1" x14ac:dyDescent="0.3">
      <c r="A74" s="9" t="s">
        <v>7</v>
      </c>
      <c r="B74" s="9" t="s">
        <v>2</v>
      </c>
      <c r="C74" s="73" t="s">
        <v>6</v>
      </c>
      <c r="D74" s="73"/>
      <c r="E74" s="11" t="s">
        <v>30</v>
      </c>
      <c r="F74" s="11" t="s">
        <v>31</v>
      </c>
      <c r="G74" s="11" t="s">
        <v>32</v>
      </c>
      <c r="H74" s="11" t="s">
        <v>33</v>
      </c>
      <c r="I74" s="11" t="s">
        <v>37</v>
      </c>
    </row>
    <row r="75" spans="1:11" ht="16.5" thickTop="1" thickBot="1" x14ac:dyDescent="0.3">
      <c r="A75" t="s">
        <v>23</v>
      </c>
      <c r="B75" t="str">
        <f>B70</f>
        <v>TEMANGGUNG</v>
      </c>
      <c r="C75" s="80" t="str">
        <f>C70</f>
        <v>C48</v>
      </c>
      <c r="D75" s="80"/>
      <c r="E75" s="15">
        <v>418</v>
      </c>
      <c r="F75" s="15">
        <v>492.9</v>
      </c>
      <c r="G75" s="15">
        <v>19.600000000000001</v>
      </c>
      <c r="H75" s="15">
        <f>IF(E75="","",(H71-E75-F75-G75))</f>
        <v>13.700000000000067</v>
      </c>
      <c r="I75" s="15">
        <f>IF(E75="","",SUM(E75:H75))</f>
        <v>944.2</v>
      </c>
      <c r="K75" t="s">
        <v>111</v>
      </c>
    </row>
    <row r="76" spans="1:11" ht="16.5" thickTop="1" thickBot="1" x14ac:dyDescent="0.3">
      <c r="A76" s="77" t="s">
        <v>52</v>
      </c>
      <c r="B76" s="77"/>
      <c r="C76" s="77"/>
      <c r="D76" s="77"/>
      <c r="E76" s="38">
        <f>IF(E75="","",E75/$H71)</f>
        <v>0.4427028171997458</v>
      </c>
      <c r="F76" s="54">
        <f>IF(F75="","",F75/$H71)</f>
        <v>0.5220292310951069</v>
      </c>
      <c r="G76" s="54">
        <f t="shared" ref="G76:H76" si="9">IF(G75="","",G75/$H71)</f>
        <v>2.0758313916543106E-2</v>
      </c>
      <c r="H76" s="54">
        <f t="shared" si="9"/>
        <v>1.4509637788604179E-2</v>
      </c>
      <c r="I76" s="17">
        <f>IF(I75="","",SUM(E76:H76))</f>
        <v>1</v>
      </c>
    </row>
    <row r="77" spans="1:11" ht="15.75" thickTop="1" x14ac:dyDescent="0.25">
      <c r="A77" s="19" t="s">
        <v>16</v>
      </c>
    </row>
    <row r="78" spans="1:11" ht="10.5" customHeight="1" x14ac:dyDescent="0.25">
      <c r="A78" s="7" t="s">
        <v>48</v>
      </c>
    </row>
    <row r="79" spans="1:11" ht="10.5" customHeight="1" x14ac:dyDescent="0.25">
      <c r="A79" s="7" t="s">
        <v>35</v>
      </c>
    </row>
    <row r="80" spans="1:11" ht="10.5" customHeight="1" x14ac:dyDescent="0.25">
      <c r="A80" s="7" t="s">
        <v>34</v>
      </c>
    </row>
    <row r="81" spans="1:9" ht="10.5" customHeight="1" x14ac:dyDescent="0.25">
      <c r="A81" s="7" t="s">
        <v>50</v>
      </c>
    </row>
    <row r="82" spans="1:9" ht="5.25" customHeight="1" x14ac:dyDescent="0.25"/>
    <row r="83" spans="1:9" ht="15.75" thickBot="1" x14ac:dyDescent="0.3">
      <c r="A83" s="1" t="s">
        <v>55</v>
      </c>
      <c r="B83" s="1" t="s">
        <v>87</v>
      </c>
      <c r="C83" s="1"/>
    </row>
    <row r="84" spans="1:9" ht="16.5" thickTop="1" thickBot="1" x14ac:dyDescent="0.3">
      <c r="A84" s="9" t="s">
        <v>7</v>
      </c>
      <c r="B84" s="9" t="s">
        <v>2</v>
      </c>
      <c r="C84" s="73" t="s">
        <v>6</v>
      </c>
      <c r="D84" s="73"/>
      <c r="E84" s="10" t="s">
        <v>25</v>
      </c>
      <c r="F84" s="10" t="s">
        <v>3</v>
      </c>
      <c r="G84" s="10" t="s">
        <v>4</v>
      </c>
      <c r="H84" s="10" t="s">
        <v>5</v>
      </c>
      <c r="I84" s="11" t="s">
        <v>26</v>
      </c>
    </row>
    <row r="85" spans="1:9" ht="15.75" thickTop="1" x14ac:dyDescent="0.25">
      <c r="A85" t="s">
        <v>23</v>
      </c>
      <c r="B85" t="s">
        <v>108</v>
      </c>
      <c r="C85" s="74" t="s">
        <v>22</v>
      </c>
      <c r="D85" s="74"/>
      <c r="E85" s="3">
        <v>1</v>
      </c>
      <c r="F85" s="15">
        <v>49.1</v>
      </c>
      <c r="G85" s="15">
        <v>1.3</v>
      </c>
      <c r="H85" s="15">
        <f>F85-G85</f>
        <v>47.800000000000004</v>
      </c>
      <c r="I85" s="4" t="s">
        <v>20</v>
      </c>
    </row>
    <row r="86" spans="1:9" x14ac:dyDescent="0.25">
      <c r="A86" t="s">
        <v>23</v>
      </c>
      <c r="B86" t="s">
        <v>108</v>
      </c>
      <c r="C86" s="70" t="s">
        <v>22</v>
      </c>
      <c r="D86" s="70"/>
      <c r="E86" s="3">
        <f>E85+1</f>
        <v>2</v>
      </c>
      <c r="F86" s="15">
        <v>48.8</v>
      </c>
      <c r="G86" s="15">
        <v>1.5</v>
      </c>
      <c r="H86" s="15">
        <f t="shared" ref="H86:H99" si="10">F86-G86</f>
        <v>47.3</v>
      </c>
      <c r="I86" s="4" t="s">
        <v>20</v>
      </c>
    </row>
    <row r="87" spans="1:9" x14ac:dyDescent="0.25">
      <c r="A87" t="s">
        <v>23</v>
      </c>
      <c r="B87" t="s">
        <v>108</v>
      </c>
      <c r="C87" s="70" t="s">
        <v>22</v>
      </c>
      <c r="D87" s="70"/>
      <c r="E87" s="3">
        <f t="shared" ref="E87:E99" si="11">E86+1</f>
        <v>3</v>
      </c>
      <c r="F87" s="15">
        <v>47.5</v>
      </c>
      <c r="G87" s="15">
        <v>1.8</v>
      </c>
      <c r="H87" s="15">
        <f t="shared" si="10"/>
        <v>45.7</v>
      </c>
      <c r="I87" s="4" t="s">
        <v>20</v>
      </c>
    </row>
    <row r="88" spans="1:9" x14ac:dyDescent="0.25">
      <c r="A88" t="s">
        <v>23</v>
      </c>
      <c r="B88" t="s">
        <v>108</v>
      </c>
      <c r="C88" s="70" t="s">
        <v>22</v>
      </c>
      <c r="D88" s="70"/>
      <c r="E88" s="3">
        <f t="shared" si="11"/>
        <v>4</v>
      </c>
      <c r="F88" s="15">
        <v>55.7</v>
      </c>
      <c r="G88" s="15">
        <v>1.1000000000000001</v>
      </c>
      <c r="H88" s="15">
        <f t="shared" si="10"/>
        <v>54.6</v>
      </c>
      <c r="I88" s="4" t="s">
        <v>20</v>
      </c>
    </row>
    <row r="89" spans="1:9" x14ac:dyDescent="0.25">
      <c r="A89" t="s">
        <v>23</v>
      </c>
      <c r="B89" t="s">
        <v>108</v>
      </c>
      <c r="C89" s="70" t="s">
        <v>22</v>
      </c>
      <c r="D89" s="70"/>
      <c r="E89" s="3">
        <f t="shared" si="11"/>
        <v>5</v>
      </c>
      <c r="F89" s="15">
        <v>50.6</v>
      </c>
      <c r="G89" s="15">
        <v>1.4</v>
      </c>
      <c r="H89" s="15">
        <f t="shared" si="10"/>
        <v>49.2</v>
      </c>
      <c r="I89" s="4" t="s">
        <v>20</v>
      </c>
    </row>
    <row r="90" spans="1:9" x14ac:dyDescent="0.25">
      <c r="A90" t="s">
        <v>23</v>
      </c>
      <c r="B90" t="s">
        <v>108</v>
      </c>
      <c r="C90" s="70" t="s">
        <v>22</v>
      </c>
      <c r="D90" s="70"/>
      <c r="E90" s="3">
        <f t="shared" si="11"/>
        <v>6</v>
      </c>
      <c r="F90" s="15">
        <v>53.7</v>
      </c>
      <c r="G90" s="15">
        <v>1.3</v>
      </c>
      <c r="H90" s="15">
        <f t="shared" si="10"/>
        <v>52.400000000000006</v>
      </c>
      <c r="I90" s="4" t="s">
        <v>20</v>
      </c>
    </row>
    <row r="91" spans="1:9" x14ac:dyDescent="0.25">
      <c r="A91" t="s">
        <v>23</v>
      </c>
      <c r="B91" t="s">
        <v>108</v>
      </c>
      <c r="C91" s="70" t="s">
        <v>22</v>
      </c>
      <c r="D91" s="70"/>
      <c r="E91" s="3">
        <f t="shared" si="11"/>
        <v>7</v>
      </c>
      <c r="F91" s="15">
        <v>51.8</v>
      </c>
      <c r="G91" s="15">
        <v>1</v>
      </c>
      <c r="H91" s="15">
        <f t="shared" si="10"/>
        <v>50.8</v>
      </c>
      <c r="I91" s="4" t="s">
        <v>20</v>
      </c>
    </row>
    <row r="92" spans="1:9" x14ac:dyDescent="0.25">
      <c r="A92" t="s">
        <v>23</v>
      </c>
      <c r="B92" t="s">
        <v>108</v>
      </c>
      <c r="C92" s="70" t="s">
        <v>22</v>
      </c>
      <c r="D92" s="70"/>
      <c r="E92" s="3">
        <f t="shared" si="11"/>
        <v>8</v>
      </c>
      <c r="F92" s="15">
        <v>48.8</v>
      </c>
      <c r="G92" s="15">
        <v>1</v>
      </c>
      <c r="H92" s="15">
        <f t="shared" si="10"/>
        <v>47.8</v>
      </c>
      <c r="I92" s="4" t="s">
        <v>20</v>
      </c>
    </row>
    <row r="93" spans="1:9" x14ac:dyDescent="0.25">
      <c r="A93" t="s">
        <v>23</v>
      </c>
      <c r="B93" t="s">
        <v>108</v>
      </c>
      <c r="C93" s="70" t="s">
        <v>22</v>
      </c>
      <c r="D93" s="70"/>
      <c r="E93" s="3">
        <f t="shared" si="11"/>
        <v>9</v>
      </c>
      <c r="F93" s="15">
        <v>50.1</v>
      </c>
      <c r="G93" s="15">
        <v>1.1000000000000001</v>
      </c>
      <c r="H93" s="15">
        <f t="shared" si="10"/>
        <v>49</v>
      </c>
      <c r="I93" s="4" t="s">
        <v>20</v>
      </c>
    </row>
    <row r="94" spans="1:9" x14ac:dyDescent="0.25">
      <c r="A94" t="s">
        <v>23</v>
      </c>
      <c r="B94" t="s">
        <v>108</v>
      </c>
      <c r="C94" s="70" t="s">
        <v>22</v>
      </c>
      <c r="D94" s="70"/>
      <c r="E94" s="3">
        <f t="shared" si="11"/>
        <v>10</v>
      </c>
      <c r="F94" s="15">
        <v>48.9</v>
      </c>
      <c r="G94" s="15">
        <v>1.1000000000000001</v>
      </c>
      <c r="H94" s="15">
        <f t="shared" si="10"/>
        <v>47.8</v>
      </c>
      <c r="I94" s="4" t="s">
        <v>20</v>
      </c>
    </row>
    <row r="95" spans="1:9" x14ac:dyDescent="0.25">
      <c r="A95" t="s">
        <v>23</v>
      </c>
      <c r="B95" t="s">
        <v>108</v>
      </c>
      <c r="C95" s="70" t="s">
        <v>22</v>
      </c>
      <c r="D95" s="70"/>
      <c r="E95" s="3">
        <f t="shared" si="11"/>
        <v>11</v>
      </c>
      <c r="F95" s="15">
        <v>46.8</v>
      </c>
      <c r="G95" s="15">
        <v>1.2</v>
      </c>
      <c r="H95" s="15">
        <f t="shared" si="10"/>
        <v>45.599999999999994</v>
      </c>
      <c r="I95" s="4" t="s">
        <v>20</v>
      </c>
    </row>
    <row r="96" spans="1:9" x14ac:dyDescent="0.25">
      <c r="A96" t="s">
        <v>23</v>
      </c>
      <c r="B96" t="s">
        <v>108</v>
      </c>
      <c r="C96" s="70" t="s">
        <v>22</v>
      </c>
      <c r="D96" s="70"/>
      <c r="E96" s="3">
        <f t="shared" si="11"/>
        <v>12</v>
      </c>
      <c r="F96" s="15">
        <v>49.8</v>
      </c>
      <c r="G96" s="15">
        <v>1.1000000000000001</v>
      </c>
      <c r="H96" s="15">
        <f t="shared" si="10"/>
        <v>48.699999999999996</v>
      </c>
      <c r="I96" s="4" t="s">
        <v>20</v>
      </c>
    </row>
    <row r="97" spans="1:14" x14ac:dyDescent="0.25">
      <c r="A97" t="s">
        <v>23</v>
      </c>
      <c r="B97" t="s">
        <v>108</v>
      </c>
      <c r="C97" s="70" t="s">
        <v>22</v>
      </c>
      <c r="D97" s="70"/>
      <c r="E97" s="3">
        <f t="shared" si="11"/>
        <v>13</v>
      </c>
      <c r="F97" s="15">
        <v>49.7</v>
      </c>
      <c r="G97" s="15">
        <v>1.3</v>
      </c>
      <c r="H97" s="15">
        <f t="shared" si="10"/>
        <v>48.400000000000006</v>
      </c>
      <c r="I97" s="4" t="s">
        <v>20</v>
      </c>
    </row>
    <row r="98" spans="1:14" x14ac:dyDescent="0.25">
      <c r="A98" t="s">
        <v>23</v>
      </c>
      <c r="B98" t="s">
        <v>108</v>
      </c>
      <c r="C98" s="70" t="s">
        <v>22</v>
      </c>
      <c r="D98" s="70"/>
      <c r="E98" s="3">
        <f t="shared" si="11"/>
        <v>14</v>
      </c>
      <c r="F98" s="15">
        <v>48.7</v>
      </c>
      <c r="G98" s="15">
        <v>1</v>
      </c>
      <c r="H98" s="15">
        <f t="shared" si="10"/>
        <v>47.7</v>
      </c>
      <c r="I98" s="4" t="s">
        <v>20</v>
      </c>
    </row>
    <row r="99" spans="1:14" ht="15.75" thickBot="1" x14ac:dyDescent="0.3">
      <c r="A99" t="s">
        <v>23</v>
      </c>
      <c r="B99" t="s">
        <v>108</v>
      </c>
      <c r="C99" s="78" t="s">
        <v>22</v>
      </c>
      <c r="D99" s="78"/>
      <c r="E99" s="3">
        <f t="shared" si="11"/>
        <v>15</v>
      </c>
      <c r="F99" s="15">
        <v>49.7</v>
      </c>
      <c r="G99" s="15">
        <v>1.2</v>
      </c>
      <c r="H99" s="15">
        <f t="shared" si="10"/>
        <v>48.5</v>
      </c>
      <c r="I99" s="4" t="s">
        <v>20</v>
      </c>
    </row>
    <row r="100" spans="1:14" ht="16.5" thickTop="1" thickBot="1" x14ac:dyDescent="0.3">
      <c r="A100" s="75" t="s">
        <v>27</v>
      </c>
      <c r="B100" s="75"/>
      <c r="C100" s="75"/>
      <c r="D100" s="75"/>
      <c r="E100" s="12">
        <f>E99</f>
        <v>15</v>
      </c>
      <c r="F100" s="14">
        <f>SUM(F85:F99)</f>
        <v>749.70000000000016</v>
      </c>
      <c r="G100" s="14">
        <f>SUM(G85:G99)</f>
        <v>18.399999999999999</v>
      </c>
      <c r="H100" s="14">
        <f>SUM(H85:H99)</f>
        <v>731.30000000000007</v>
      </c>
      <c r="I100" s="13"/>
    </row>
    <row r="101" spans="1:14" ht="3.75" customHeight="1" thickTop="1" x14ac:dyDescent="0.25"/>
    <row r="102" spans="1:14" ht="15.75" thickBot="1" x14ac:dyDescent="0.3">
      <c r="A102" s="1" t="s">
        <v>29</v>
      </c>
      <c r="N102" t="s">
        <v>66</v>
      </c>
    </row>
    <row r="103" spans="1:14" ht="46.5" thickTop="1" thickBot="1" x14ac:dyDescent="0.3">
      <c r="A103" s="9" t="s">
        <v>7</v>
      </c>
      <c r="B103" s="9" t="s">
        <v>2</v>
      </c>
      <c r="C103" s="73" t="s">
        <v>6</v>
      </c>
      <c r="D103" s="73"/>
      <c r="E103" s="11" t="s">
        <v>30</v>
      </c>
      <c r="F103" s="11" t="s">
        <v>31</v>
      </c>
      <c r="G103" s="11" t="s">
        <v>32</v>
      </c>
      <c r="H103" s="11" t="s">
        <v>33</v>
      </c>
      <c r="I103" s="11" t="s">
        <v>37</v>
      </c>
    </row>
    <row r="104" spans="1:14" ht="16.5" thickTop="1" thickBot="1" x14ac:dyDescent="0.3">
      <c r="A104" t="s">
        <v>23</v>
      </c>
      <c r="B104" t="str">
        <f>B96</f>
        <v>MADURA '25</v>
      </c>
      <c r="C104" s="76" t="str">
        <f>C99</f>
        <v>Ball Goni</v>
      </c>
      <c r="D104" s="76"/>
      <c r="E104" s="15">
        <v>556.1</v>
      </c>
      <c r="F104" s="15">
        <v>155.1</v>
      </c>
      <c r="G104" s="15">
        <v>17.899999999999999</v>
      </c>
      <c r="H104" s="15">
        <f>IF(E104="","",(H100-E104-F104-G104))</f>
        <v>2.2000000000000526</v>
      </c>
      <c r="I104" s="15">
        <f>IF(E104="","",SUM(E104:H104))</f>
        <v>731.30000000000007</v>
      </c>
      <c r="K104" s="27">
        <f>E104+E122</f>
        <v>607.80000000000007</v>
      </c>
      <c r="L104" s="27">
        <f t="shared" ref="L104:M104" si="12">F104+F122</f>
        <v>169.4</v>
      </c>
      <c r="M104" s="27">
        <f t="shared" si="12"/>
        <v>19.599999999999998</v>
      </c>
      <c r="N104" s="27">
        <f>H104+H122</f>
        <v>2.800000000000046</v>
      </c>
    </row>
    <row r="105" spans="1:14" ht="16.5" thickTop="1" thickBot="1" x14ac:dyDescent="0.3">
      <c r="A105" s="77" t="s">
        <v>52</v>
      </c>
      <c r="B105" s="77"/>
      <c r="C105" s="77"/>
      <c r="D105" s="77"/>
      <c r="E105" s="38">
        <f>IF(E104="","",E104/$H100)</f>
        <v>0.76042663749487216</v>
      </c>
      <c r="F105" s="54">
        <f>IF(F104="","",F104/$H100)</f>
        <v>0.21208806235471075</v>
      </c>
      <c r="G105" s="54">
        <f t="shared" ref="G105:H105" si="13">IF(G104="","",G104/$H100)</f>
        <v>2.4476958840421163E-2</v>
      </c>
      <c r="H105" s="54">
        <f t="shared" si="13"/>
        <v>3.0083413099959693E-3</v>
      </c>
      <c r="I105" s="17">
        <f>IF(I104="","",SUM(E105:H105))</f>
        <v>1</v>
      </c>
    </row>
    <row r="106" spans="1:14" ht="15.75" thickTop="1" x14ac:dyDescent="0.25">
      <c r="A106" s="19" t="s">
        <v>16</v>
      </c>
    </row>
    <row r="107" spans="1:14" ht="12.75" customHeight="1" x14ac:dyDescent="0.25">
      <c r="A107" s="7" t="s">
        <v>36</v>
      </c>
    </row>
    <row r="108" spans="1:14" ht="12.75" customHeight="1" x14ac:dyDescent="0.25">
      <c r="A108" s="7" t="s">
        <v>35</v>
      </c>
    </row>
    <row r="109" spans="1:14" ht="12.75" customHeight="1" x14ac:dyDescent="0.25">
      <c r="A109" s="7" t="s">
        <v>34</v>
      </c>
    </row>
    <row r="110" spans="1:14" ht="12.75" customHeight="1" x14ac:dyDescent="0.25">
      <c r="A110" s="7" t="s">
        <v>50</v>
      </c>
    </row>
    <row r="111" spans="1:14" ht="15.75" thickBot="1" x14ac:dyDescent="0.3">
      <c r="A111" s="1" t="s">
        <v>56</v>
      </c>
      <c r="B111" s="1" t="s">
        <v>87</v>
      </c>
      <c r="C111" s="1"/>
    </row>
    <row r="112" spans="1:14" ht="16.5" thickTop="1" thickBot="1" x14ac:dyDescent="0.3">
      <c r="A112" s="9" t="s">
        <v>7</v>
      </c>
      <c r="B112" s="9" t="s">
        <v>2</v>
      </c>
      <c r="C112" s="73" t="s">
        <v>6</v>
      </c>
      <c r="D112" s="73"/>
      <c r="E112" s="10" t="s">
        <v>25</v>
      </c>
      <c r="F112" s="10" t="s">
        <v>3</v>
      </c>
      <c r="G112" s="10" t="s">
        <v>4</v>
      </c>
      <c r="H112" s="10" t="s">
        <v>5</v>
      </c>
      <c r="I112" s="11" t="s">
        <v>26</v>
      </c>
    </row>
    <row r="113" spans="1:14" ht="15.75" thickTop="1" x14ac:dyDescent="0.25">
      <c r="A113" t="s">
        <v>23</v>
      </c>
      <c r="B113" t="s">
        <v>108</v>
      </c>
      <c r="C113" s="74" t="s">
        <v>90</v>
      </c>
      <c r="D113" s="74"/>
      <c r="E113" s="3">
        <v>1</v>
      </c>
      <c r="F113" s="15">
        <v>12.7</v>
      </c>
      <c r="G113" s="15">
        <v>0.3</v>
      </c>
      <c r="H113" s="15">
        <f>F113-G113</f>
        <v>12.399999999999999</v>
      </c>
      <c r="I113" s="4" t="s">
        <v>20</v>
      </c>
    </row>
    <row r="114" spans="1:14" x14ac:dyDescent="0.25">
      <c r="A114" t="s">
        <v>23</v>
      </c>
      <c r="B114" t="s">
        <v>108</v>
      </c>
      <c r="C114" s="70" t="s">
        <v>90</v>
      </c>
      <c r="D114" s="70"/>
      <c r="E114" s="3">
        <f>E113+1</f>
        <v>2</v>
      </c>
      <c r="F114" s="15">
        <v>16.600000000000001</v>
      </c>
      <c r="G114" s="15">
        <v>0.3</v>
      </c>
      <c r="H114" s="15">
        <f t="shared" ref="H114:H117" si="14">F114-G114</f>
        <v>16.3</v>
      </c>
      <c r="I114" s="4" t="s">
        <v>20</v>
      </c>
    </row>
    <row r="115" spans="1:14" x14ac:dyDescent="0.25">
      <c r="A115" t="s">
        <v>23</v>
      </c>
      <c r="B115" t="s">
        <v>108</v>
      </c>
      <c r="C115" s="70" t="s">
        <v>90</v>
      </c>
      <c r="D115" s="70"/>
      <c r="E115" s="3">
        <f t="shared" ref="E115:E117" si="15">E114+1</f>
        <v>3</v>
      </c>
      <c r="F115" s="15">
        <v>15.2</v>
      </c>
      <c r="G115" s="15">
        <v>0.3</v>
      </c>
      <c r="H115" s="15">
        <f t="shared" si="14"/>
        <v>14.899999999999999</v>
      </c>
      <c r="I115" s="4" t="s">
        <v>20</v>
      </c>
    </row>
    <row r="116" spans="1:14" x14ac:dyDescent="0.25">
      <c r="A116" t="s">
        <v>23</v>
      </c>
      <c r="B116" t="s">
        <v>108</v>
      </c>
      <c r="C116" s="70" t="s">
        <v>90</v>
      </c>
      <c r="D116" s="70"/>
      <c r="E116" s="3">
        <f t="shared" si="15"/>
        <v>4</v>
      </c>
      <c r="F116" s="15">
        <v>14.8</v>
      </c>
      <c r="G116" s="15">
        <v>0.3</v>
      </c>
      <c r="H116" s="15">
        <f t="shared" si="14"/>
        <v>14.5</v>
      </c>
      <c r="I116" s="4" t="s">
        <v>20</v>
      </c>
    </row>
    <row r="117" spans="1:14" ht="15.75" thickBot="1" x14ac:dyDescent="0.3">
      <c r="A117" t="s">
        <v>23</v>
      </c>
      <c r="B117" t="s">
        <v>108</v>
      </c>
      <c r="C117" s="70" t="s">
        <v>90</v>
      </c>
      <c r="D117" s="70"/>
      <c r="E117" s="3">
        <f t="shared" si="15"/>
        <v>5</v>
      </c>
      <c r="F117" s="15">
        <v>10.5</v>
      </c>
      <c r="G117" s="15">
        <v>0.3</v>
      </c>
      <c r="H117" s="15">
        <f t="shared" si="14"/>
        <v>10.199999999999999</v>
      </c>
      <c r="I117" s="4" t="s">
        <v>20</v>
      </c>
    </row>
    <row r="118" spans="1:14" ht="16.5" thickTop="1" thickBot="1" x14ac:dyDescent="0.3">
      <c r="A118" s="75" t="s">
        <v>27</v>
      </c>
      <c r="B118" s="75"/>
      <c r="C118" s="75"/>
      <c r="D118" s="75"/>
      <c r="E118" s="12">
        <f>E117</f>
        <v>5</v>
      </c>
      <c r="F118" s="14">
        <f>SUM(F113:F117)</f>
        <v>69.8</v>
      </c>
      <c r="G118" s="14">
        <f>SUM(G113:G117)</f>
        <v>1.5</v>
      </c>
      <c r="H118" s="14">
        <f>SUM(H113:H117)</f>
        <v>68.3</v>
      </c>
      <c r="I118" s="13"/>
    </row>
    <row r="119" spans="1:14" ht="3.75" customHeight="1" thickTop="1" x14ac:dyDescent="0.25"/>
    <row r="120" spans="1:14" ht="15.75" thickBot="1" x14ac:dyDescent="0.3">
      <c r="A120" s="1" t="s">
        <v>29</v>
      </c>
      <c r="N120" t="s">
        <v>66</v>
      </c>
    </row>
    <row r="121" spans="1:14" ht="46.5" thickTop="1" thickBot="1" x14ac:dyDescent="0.3">
      <c r="A121" s="9" t="s">
        <v>7</v>
      </c>
      <c r="B121" s="9" t="s">
        <v>2</v>
      </c>
      <c r="C121" s="73" t="s">
        <v>6</v>
      </c>
      <c r="D121" s="73"/>
      <c r="E121" s="11" t="s">
        <v>30</v>
      </c>
      <c r="F121" s="11" t="s">
        <v>31</v>
      </c>
      <c r="G121" s="11" t="s">
        <v>32</v>
      </c>
      <c r="H121" s="11" t="s">
        <v>33</v>
      </c>
      <c r="I121" s="11" t="s">
        <v>37</v>
      </c>
    </row>
    <row r="122" spans="1:14" ht="16.5" thickTop="1" thickBot="1" x14ac:dyDescent="0.3">
      <c r="A122" t="s">
        <v>23</v>
      </c>
      <c r="B122" t="str">
        <f>B117</f>
        <v>MADURA '25</v>
      </c>
      <c r="C122" s="76" t="str">
        <f>C117</f>
        <v>Karung Sak</v>
      </c>
      <c r="D122" s="76"/>
      <c r="E122" s="15">
        <v>51.7</v>
      </c>
      <c r="F122" s="15">
        <v>14.3</v>
      </c>
      <c r="G122" s="15">
        <v>1.7</v>
      </c>
      <c r="H122" s="15">
        <f>IF(E122="","",(H118-E122-F122-G122))</f>
        <v>0.59999999999999365</v>
      </c>
      <c r="I122" s="15">
        <f>IF(E122="","",SUM(E122:H122))</f>
        <v>68.3</v>
      </c>
    </row>
    <row r="123" spans="1:14" ht="16.5" thickTop="1" thickBot="1" x14ac:dyDescent="0.3">
      <c r="A123" s="77" t="s">
        <v>52</v>
      </c>
      <c r="B123" s="77"/>
      <c r="C123" s="77"/>
      <c r="D123" s="77"/>
      <c r="E123" s="38">
        <f>IF(E122="","",E122/$H118)</f>
        <v>0.75695461200585656</v>
      </c>
      <c r="F123" s="54">
        <f>IF(F122="","",F122/$H118)</f>
        <v>0.20937042459736457</v>
      </c>
      <c r="G123" s="54">
        <f t="shared" ref="G123:H123" si="16">IF(G122="","",G122/$H118)</f>
        <v>2.4890190336749635E-2</v>
      </c>
      <c r="H123" s="54">
        <f t="shared" si="16"/>
        <v>8.7847730600291891E-3</v>
      </c>
      <c r="I123" s="17">
        <f>IF(I122="","",SUM(E123:H123))</f>
        <v>1</v>
      </c>
      <c r="K123" s="24">
        <f>AVERAGE(E105,E123)</f>
        <v>0.75869062475036442</v>
      </c>
      <c r="L123" s="24">
        <f>AVERAGE(F105,F123)</f>
        <v>0.21072924347603766</v>
      </c>
      <c r="M123" s="24">
        <f t="shared" ref="M123:N123" si="17">AVERAGE(G105,G123)</f>
        <v>2.4683574588585399E-2</v>
      </c>
      <c r="N123" s="24">
        <f t="shared" si="17"/>
        <v>5.8965571850125792E-3</v>
      </c>
    </row>
    <row r="124" spans="1:14" ht="15.75" thickTop="1" x14ac:dyDescent="0.25">
      <c r="A124" s="19" t="s">
        <v>16</v>
      </c>
    </row>
    <row r="125" spans="1:14" ht="12.75" customHeight="1" x14ac:dyDescent="0.25">
      <c r="A125" s="7" t="s">
        <v>36</v>
      </c>
    </row>
    <row r="126" spans="1:14" ht="12.75" customHeight="1" x14ac:dyDescent="0.25">
      <c r="A126" s="7" t="s">
        <v>35</v>
      </c>
    </row>
    <row r="127" spans="1:14" ht="12.75" customHeight="1" x14ac:dyDescent="0.25">
      <c r="A127" s="7" t="s">
        <v>34</v>
      </c>
    </row>
    <row r="128" spans="1:14" ht="12.75" customHeight="1" x14ac:dyDescent="0.25">
      <c r="A128" s="7" t="s">
        <v>50</v>
      </c>
    </row>
  </sheetData>
  <mergeCells count="80">
    <mergeCell ref="C121:D121"/>
    <mergeCell ref="C122:D122"/>
    <mergeCell ref="A123:D123"/>
    <mergeCell ref="C92:D92"/>
    <mergeCell ref="C91:D91"/>
    <mergeCell ref="C104:D104"/>
    <mergeCell ref="A105:D105"/>
    <mergeCell ref="A118:D118"/>
    <mergeCell ref="C117:D117"/>
    <mergeCell ref="C112:D112"/>
    <mergeCell ref="C113:D113"/>
    <mergeCell ref="C114:D114"/>
    <mergeCell ref="C115:D115"/>
    <mergeCell ref="C116:D116"/>
    <mergeCell ref="A100:D100"/>
    <mergeCell ref="C103:D103"/>
    <mergeCell ref="C99:D99"/>
    <mergeCell ref="C93:D93"/>
    <mergeCell ref="C94:D94"/>
    <mergeCell ref="C95:D95"/>
    <mergeCell ref="C96:D96"/>
    <mergeCell ref="C97:D97"/>
    <mergeCell ref="C98:D98"/>
    <mergeCell ref="C90:D90"/>
    <mergeCell ref="A71:D71"/>
    <mergeCell ref="C68:D68"/>
    <mergeCell ref="C69:D69"/>
    <mergeCell ref="C70:D70"/>
    <mergeCell ref="C75:D75"/>
    <mergeCell ref="A76:D76"/>
    <mergeCell ref="C84:D84"/>
    <mergeCell ref="C85:D85"/>
    <mergeCell ref="C86:D86"/>
    <mergeCell ref="C87:D87"/>
    <mergeCell ref="C88:D88"/>
    <mergeCell ref="C89:D89"/>
    <mergeCell ref="C74:D74"/>
    <mergeCell ref="C67:D67"/>
    <mergeCell ref="C47:D47"/>
    <mergeCell ref="C48:D48"/>
    <mergeCell ref="A49:D49"/>
    <mergeCell ref="C52:D52"/>
    <mergeCell ref="C53:D53"/>
    <mergeCell ref="A54:D54"/>
    <mergeCell ref="C62:D62"/>
    <mergeCell ref="C63:D63"/>
    <mergeCell ref="C64:D64"/>
    <mergeCell ref="C65:D65"/>
    <mergeCell ref="C66:D66"/>
    <mergeCell ref="C34:D34"/>
    <mergeCell ref="C35:D35"/>
    <mergeCell ref="C36:D36"/>
    <mergeCell ref="C43:D43"/>
    <mergeCell ref="C45:D45"/>
    <mergeCell ref="C41:D41"/>
    <mergeCell ref="C42:D42"/>
    <mergeCell ref="C44:D44"/>
    <mergeCell ref="C46:D46"/>
    <mergeCell ref="C37:D37"/>
    <mergeCell ref="C38:D38"/>
    <mergeCell ref="C39:D39"/>
    <mergeCell ref="C40:D4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A1:I1"/>
    <mergeCell ref="A16:I16"/>
    <mergeCell ref="C18:D18"/>
    <mergeCell ref="C19:D19"/>
    <mergeCell ref="C20:D20"/>
  </mergeCells>
  <pageMargins left="0" right="0" top="0" bottom="0" header="0" footer="0"/>
  <pageSetup paperSize="346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BBDD-AEB3-4F55-B3E4-5EC0FEF524E3}">
  <sheetPr>
    <tabColor rgb="FF00B050"/>
  </sheetPr>
  <dimension ref="A1:M78"/>
  <sheetViews>
    <sheetView showGridLines="0" workbookViewId="0">
      <selection activeCell="H12" sqref="H12"/>
    </sheetView>
  </sheetViews>
  <sheetFormatPr defaultRowHeight="15" x14ac:dyDescent="0.25"/>
  <cols>
    <col min="1" max="1" width="15.42578125" customWidth="1"/>
    <col min="2" max="2" width="13.85546875" customWidth="1"/>
    <col min="3" max="3" width="9.7109375" customWidth="1"/>
    <col min="4" max="4" width="10.5703125" bestFit="1" customWidth="1"/>
    <col min="5" max="5" width="9.140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  <col min="11" max="11" width="0" hidden="1" customWidth="1"/>
    <col min="12" max="13" width="0" style="3" hidden="1" customWidth="1"/>
    <col min="14" max="14" width="0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46221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4"/>
    </row>
    <row r="7" spans="1:12" ht="15.75" thickTop="1" x14ac:dyDescent="0.25">
      <c r="A7" s="5" t="s">
        <v>1</v>
      </c>
      <c r="B7" s="5" t="s">
        <v>77</v>
      </c>
      <c r="C7" s="4">
        <v>30</v>
      </c>
      <c r="D7" s="4" t="s">
        <v>22</v>
      </c>
      <c r="E7" s="15">
        <v>1495</v>
      </c>
      <c r="F7" s="15">
        <f>G47</f>
        <v>34.600000000000009</v>
      </c>
      <c r="G7" s="15">
        <f>E7-F7</f>
        <v>1460.4</v>
      </c>
      <c r="H7" s="6">
        <v>46192</v>
      </c>
      <c r="I7" s="6" t="s">
        <v>20</v>
      </c>
    </row>
    <row r="8" spans="1:12" x14ac:dyDescent="0.25">
      <c r="A8" s="5" t="s">
        <v>1</v>
      </c>
      <c r="B8" s="5" t="s">
        <v>62</v>
      </c>
      <c r="C8" s="4">
        <v>6</v>
      </c>
      <c r="D8" s="4" t="s">
        <v>14</v>
      </c>
      <c r="E8" s="15">
        <v>826.8</v>
      </c>
      <c r="F8" s="15">
        <f>G67</f>
        <v>90.899999999999991</v>
      </c>
      <c r="G8" s="15">
        <f t="shared" ref="G8" si="0">E8-F8</f>
        <v>735.9</v>
      </c>
      <c r="H8" s="6">
        <v>46192</v>
      </c>
      <c r="I8" s="6" t="s">
        <v>20</v>
      </c>
      <c r="K8">
        <f>E8/C8</f>
        <v>137.79999999999998</v>
      </c>
    </row>
    <row r="9" spans="1:12" ht="4.5" customHeight="1" x14ac:dyDescent="0.25"/>
    <row r="10" spans="1:12" x14ac:dyDescent="0.25">
      <c r="A10" s="19" t="s">
        <v>16</v>
      </c>
    </row>
    <row r="11" spans="1:12" ht="10.5" customHeight="1" x14ac:dyDescent="0.25">
      <c r="A11" s="7" t="s">
        <v>98</v>
      </c>
    </row>
    <row r="12" spans="1:12" ht="12.75" customHeight="1" x14ac:dyDescent="0.25">
      <c r="A12" s="7" t="s">
        <v>17</v>
      </c>
    </row>
    <row r="13" spans="1:12" ht="5.25" customHeight="1" x14ac:dyDescent="0.25"/>
    <row r="14" spans="1:12" x14ac:dyDescent="0.25">
      <c r="A14" s="72" t="s">
        <v>28</v>
      </c>
      <c r="B14" s="72"/>
      <c r="C14" s="72"/>
      <c r="D14" s="72"/>
      <c r="E14" s="72"/>
      <c r="F14" s="72"/>
      <c r="G14" s="72"/>
      <c r="H14" s="72"/>
      <c r="I14" s="72"/>
    </row>
    <row r="15" spans="1:12" ht="23.25" customHeight="1" thickBot="1" x14ac:dyDescent="0.3">
      <c r="A15" s="1" t="s">
        <v>53</v>
      </c>
      <c r="B15" s="1" t="s">
        <v>79</v>
      </c>
      <c r="C15" s="1"/>
    </row>
    <row r="16" spans="1:12" ht="16.5" thickTop="1" thickBot="1" x14ac:dyDescent="0.3">
      <c r="A16" s="9" t="s">
        <v>7</v>
      </c>
      <c r="B16" s="9" t="s">
        <v>2</v>
      </c>
      <c r="C16" s="73" t="s">
        <v>6</v>
      </c>
      <c r="D16" s="73"/>
      <c r="E16" s="10" t="s">
        <v>25</v>
      </c>
      <c r="F16" s="10" t="s">
        <v>3</v>
      </c>
      <c r="G16" s="10" t="s">
        <v>4</v>
      </c>
      <c r="H16" s="10" t="s">
        <v>5</v>
      </c>
      <c r="I16" s="11" t="s">
        <v>26</v>
      </c>
    </row>
    <row r="17" spans="1:9" ht="15.75" thickTop="1" x14ac:dyDescent="0.25">
      <c r="A17" t="s">
        <v>23</v>
      </c>
      <c r="B17" t="s">
        <v>39</v>
      </c>
      <c r="C17" s="74" t="s">
        <v>22</v>
      </c>
      <c r="D17" s="74"/>
      <c r="E17" s="3">
        <v>1</v>
      </c>
      <c r="F17" s="15">
        <v>47</v>
      </c>
      <c r="G17" s="15">
        <v>1.3</v>
      </c>
      <c r="H17" s="15">
        <f>F17-G17</f>
        <v>45.7</v>
      </c>
      <c r="I17" s="4" t="s">
        <v>20</v>
      </c>
    </row>
    <row r="18" spans="1:9" x14ac:dyDescent="0.25">
      <c r="A18" t="s">
        <v>23</v>
      </c>
      <c r="B18" t="s">
        <v>39</v>
      </c>
      <c r="C18" s="70" t="s">
        <v>22</v>
      </c>
      <c r="D18" s="70"/>
      <c r="E18" s="3">
        <f>E17+1</f>
        <v>2</v>
      </c>
      <c r="F18" s="15">
        <v>54</v>
      </c>
      <c r="G18" s="15">
        <v>1.1000000000000001</v>
      </c>
      <c r="H18" s="15">
        <f t="shared" ref="H18:H46" si="1">F18-G18</f>
        <v>52.9</v>
      </c>
      <c r="I18" s="4" t="s">
        <v>20</v>
      </c>
    </row>
    <row r="19" spans="1:9" x14ac:dyDescent="0.25">
      <c r="A19" t="s">
        <v>23</v>
      </c>
      <c r="B19" t="s">
        <v>39</v>
      </c>
      <c r="C19" s="70" t="s">
        <v>22</v>
      </c>
      <c r="D19" s="70"/>
      <c r="E19" s="3">
        <f t="shared" ref="E19:E46" si="2">E18+1</f>
        <v>3</v>
      </c>
      <c r="F19" s="15">
        <v>51</v>
      </c>
      <c r="G19" s="15">
        <v>1.3</v>
      </c>
      <c r="H19" s="15">
        <f t="shared" si="1"/>
        <v>49.7</v>
      </c>
      <c r="I19" s="4" t="s">
        <v>20</v>
      </c>
    </row>
    <row r="20" spans="1:9" x14ac:dyDescent="0.25">
      <c r="A20" t="s">
        <v>23</v>
      </c>
      <c r="B20" t="s">
        <v>39</v>
      </c>
      <c r="C20" s="70" t="s">
        <v>22</v>
      </c>
      <c r="D20" s="70"/>
      <c r="E20" s="3">
        <f t="shared" si="2"/>
        <v>4</v>
      </c>
      <c r="F20" s="15">
        <v>53.8</v>
      </c>
      <c r="G20" s="15">
        <v>1.6</v>
      </c>
      <c r="H20" s="15">
        <f t="shared" si="1"/>
        <v>52.199999999999996</v>
      </c>
      <c r="I20" s="4" t="s">
        <v>20</v>
      </c>
    </row>
    <row r="21" spans="1:9" x14ac:dyDescent="0.25">
      <c r="A21" t="s">
        <v>23</v>
      </c>
      <c r="B21" t="s">
        <v>39</v>
      </c>
      <c r="C21" s="70" t="s">
        <v>22</v>
      </c>
      <c r="D21" s="70"/>
      <c r="E21" s="3">
        <f t="shared" si="2"/>
        <v>5</v>
      </c>
      <c r="F21" s="15">
        <v>56.1</v>
      </c>
      <c r="G21" s="15">
        <v>1.1000000000000001</v>
      </c>
      <c r="H21" s="15">
        <f t="shared" si="1"/>
        <v>55</v>
      </c>
      <c r="I21" s="4" t="s">
        <v>20</v>
      </c>
    </row>
    <row r="22" spans="1:9" x14ac:dyDescent="0.25">
      <c r="A22" t="s">
        <v>23</v>
      </c>
      <c r="B22" t="s">
        <v>39</v>
      </c>
      <c r="C22" s="70" t="s">
        <v>22</v>
      </c>
      <c r="D22" s="70"/>
      <c r="E22" s="3">
        <f t="shared" si="2"/>
        <v>6</v>
      </c>
      <c r="F22" s="15">
        <v>49</v>
      </c>
      <c r="G22" s="15">
        <v>1</v>
      </c>
      <c r="H22" s="15">
        <f t="shared" si="1"/>
        <v>48</v>
      </c>
      <c r="I22" s="4" t="s">
        <v>20</v>
      </c>
    </row>
    <row r="23" spans="1:9" x14ac:dyDescent="0.25">
      <c r="A23" t="s">
        <v>23</v>
      </c>
      <c r="B23" t="s">
        <v>39</v>
      </c>
      <c r="C23" s="70" t="s">
        <v>22</v>
      </c>
      <c r="D23" s="70"/>
      <c r="E23" s="3">
        <f t="shared" si="2"/>
        <v>7</v>
      </c>
      <c r="F23" s="15">
        <v>50.9</v>
      </c>
      <c r="G23" s="15">
        <v>1.1000000000000001</v>
      </c>
      <c r="H23" s="15">
        <f t="shared" si="1"/>
        <v>49.8</v>
      </c>
      <c r="I23" s="4" t="s">
        <v>20</v>
      </c>
    </row>
    <row r="24" spans="1:9" x14ac:dyDescent="0.25">
      <c r="A24" t="s">
        <v>23</v>
      </c>
      <c r="B24" t="s">
        <v>39</v>
      </c>
      <c r="C24" s="70" t="s">
        <v>22</v>
      </c>
      <c r="D24" s="70"/>
      <c r="E24" s="3">
        <f t="shared" si="2"/>
        <v>8</v>
      </c>
      <c r="F24" s="15">
        <v>55.8</v>
      </c>
      <c r="G24" s="15">
        <v>1.2</v>
      </c>
      <c r="H24" s="15">
        <f t="shared" si="1"/>
        <v>54.599999999999994</v>
      </c>
      <c r="I24" s="4" t="s">
        <v>20</v>
      </c>
    </row>
    <row r="25" spans="1:9" x14ac:dyDescent="0.25">
      <c r="A25" t="s">
        <v>23</v>
      </c>
      <c r="B25" t="s">
        <v>39</v>
      </c>
      <c r="C25" s="70" t="s">
        <v>22</v>
      </c>
      <c r="D25" s="70"/>
      <c r="E25" s="3">
        <f t="shared" si="2"/>
        <v>9</v>
      </c>
      <c r="F25" s="15">
        <v>49</v>
      </c>
      <c r="G25" s="15">
        <v>1.1000000000000001</v>
      </c>
      <c r="H25" s="15">
        <f t="shared" si="1"/>
        <v>47.9</v>
      </c>
      <c r="I25" s="4" t="s">
        <v>20</v>
      </c>
    </row>
    <row r="26" spans="1:9" x14ac:dyDescent="0.25">
      <c r="A26" t="s">
        <v>23</v>
      </c>
      <c r="B26" t="s">
        <v>39</v>
      </c>
      <c r="C26" s="70" t="s">
        <v>22</v>
      </c>
      <c r="D26" s="70"/>
      <c r="E26" s="3">
        <f t="shared" si="2"/>
        <v>10</v>
      </c>
      <c r="F26" s="15">
        <v>47.6</v>
      </c>
      <c r="G26" s="15">
        <v>1.3</v>
      </c>
      <c r="H26" s="15">
        <f t="shared" si="1"/>
        <v>46.300000000000004</v>
      </c>
      <c r="I26" s="4" t="s">
        <v>20</v>
      </c>
    </row>
    <row r="27" spans="1:9" x14ac:dyDescent="0.25">
      <c r="A27" t="s">
        <v>23</v>
      </c>
      <c r="B27" t="s">
        <v>39</v>
      </c>
      <c r="C27" s="70" t="s">
        <v>22</v>
      </c>
      <c r="D27" s="70"/>
      <c r="E27" s="3">
        <f t="shared" si="2"/>
        <v>11</v>
      </c>
      <c r="F27" s="15">
        <v>51.7</v>
      </c>
      <c r="G27" s="15">
        <v>1</v>
      </c>
      <c r="H27" s="15">
        <f t="shared" si="1"/>
        <v>50.7</v>
      </c>
      <c r="I27" s="4" t="s">
        <v>20</v>
      </c>
    </row>
    <row r="28" spans="1:9" x14ac:dyDescent="0.25">
      <c r="A28" t="s">
        <v>23</v>
      </c>
      <c r="B28" t="s">
        <v>39</v>
      </c>
      <c r="C28" s="70" t="s">
        <v>22</v>
      </c>
      <c r="D28" s="70"/>
      <c r="E28" s="3">
        <f t="shared" si="2"/>
        <v>12</v>
      </c>
      <c r="F28" s="15">
        <v>52.2</v>
      </c>
      <c r="G28" s="15">
        <v>1.1000000000000001</v>
      </c>
      <c r="H28" s="15">
        <f t="shared" si="1"/>
        <v>51.1</v>
      </c>
      <c r="I28" s="4" t="s">
        <v>20</v>
      </c>
    </row>
    <row r="29" spans="1:9" x14ac:dyDescent="0.25">
      <c r="A29" t="s">
        <v>23</v>
      </c>
      <c r="B29" t="s">
        <v>39</v>
      </c>
      <c r="C29" s="70" t="s">
        <v>22</v>
      </c>
      <c r="D29" s="70"/>
      <c r="E29" s="3">
        <f t="shared" si="2"/>
        <v>13</v>
      </c>
      <c r="F29" s="15">
        <v>44.2</v>
      </c>
      <c r="G29" s="15">
        <v>1.1000000000000001</v>
      </c>
      <c r="H29" s="15">
        <f t="shared" si="1"/>
        <v>43.1</v>
      </c>
      <c r="I29" s="4" t="s">
        <v>20</v>
      </c>
    </row>
    <row r="30" spans="1:9" x14ac:dyDescent="0.25">
      <c r="A30" t="s">
        <v>23</v>
      </c>
      <c r="B30" t="s">
        <v>39</v>
      </c>
      <c r="C30" s="70" t="s">
        <v>22</v>
      </c>
      <c r="D30" s="70"/>
      <c r="E30" s="3">
        <f t="shared" si="2"/>
        <v>14</v>
      </c>
      <c r="F30" s="15">
        <v>45.2</v>
      </c>
      <c r="G30" s="15">
        <v>1.4</v>
      </c>
      <c r="H30" s="15">
        <f t="shared" si="1"/>
        <v>43.800000000000004</v>
      </c>
      <c r="I30" s="4" t="s">
        <v>20</v>
      </c>
    </row>
    <row r="31" spans="1:9" x14ac:dyDescent="0.25">
      <c r="A31" t="s">
        <v>23</v>
      </c>
      <c r="B31" t="s">
        <v>39</v>
      </c>
      <c r="C31" s="70" t="s">
        <v>22</v>
      </c>
      <c r="D31" s="70"/>
      <c r="E31" s="3">
        <f t="shared" si="2"/>
        <v>15</v>
      </c>
      <c r="F31" s="15">
        <v>49</v>
      </c>
      <c r="G31" s="15">
        <v>1.1000000000000001</v>
      </c>
      <c r="H31" s="15">
        <f t="shared" si="1"/>
        <v>47.9</v>
      </c>
      <c r="I31" s="4" t="s">
        <v>20</v>
      </c>
    </row>
    <row r="32" spans="1:9" x14ac:dyDescent="0.25">
      <c r="A32" t="s">
        <v>23</v>
      </c>
      <c r="B32" t="s">
        <v>39</v>
      </c>
      <c r="C32" s="70" t="s">
        <v>22</v>
      </c>
      <c r="D32" s="70"/>
      <c r="E32" s="3">
        <f t="shared" si="2"/>
        <v>16</v>
      </c>
      <c r="F32" s="15">
        <v>51.8</v>
      </c>
      <c r="G32" s="15">
        <v>1.1000000000000001</v>
      </c>
      <c r="H32" s="15">
        <f t="shared" si="1"/>
        <v>50.699999999999996</v>
      </c>
      <c r="I32" s="4" t="s">
        <v>20</v>
      </c>
    </row>
    <row r="33" spans="1:13" x14ac:dyDescent="0.25">
      <c r="A33" t="s">
        <v>23</v>
      </c>
      <c r="B33" t="s">
        <v>39</v>
      </c>
      <c r="C33" s="70" t="s">
        <v>22</v>
      </c>
      <c r="D33" s="70"/>
      <c r="E33" s="3">
        <f t="shared" si="2"/>
        <v>17</v>
      </c>
      <c r="F33" s="15">
        <v>48.6</v>
      </c>
      <c r="G33" s="15">
        <v>1</v>
      </c>
      <c r="H33" s="15">
        <f t="shared" si="1"/>
        <v>47.6</v>
      </c>
      <c r="I33" s="4" t="s">
        <v>20</v>
      </c>
    </row>
    <row r="34" spans="1:13" x14ac:dyDescent="0.25">
      <c r="A34" t="s">
        <v>23</v>
      </c>
      <c r="B34" t="s">
        <v>39</v>
      </c>
      <c r="C34" s="70" t="s">
        <v>22</v>
      </c>
      <c r="D34" s="70"/>
      <c r="E34" s="3">
        <f t="shared" si="2"/>
        <v>18</v>
      </c>
      <c r="F34" s="15">
        <v>51.2</v>
      </c>
      <c r="G34" s="15">
        <v>1.4</v>
      </c>
      <c r="H34" s="15">
        <f t="shared" si="1"/>
        <v>49.800000000000004</v>
      </c>
      <c r="I34" s="4" t="s">
        <v>20</v>
      </c>
    </row>
    <row r="35" spans="1:13" x14ac:dyDescent="0.25">
      <c r="A35" t="s">
        <v>23</v>
      </c>
      <c r="B35" t="s">
        <v>39</v>
      </c>
      <c r="C35" s="70" t="s">
        <v>22</v>
      </c>
      <c r="D35" s="70"/>
      <c r="E35" s="3">
        <f t="shared" si="2"/>
        <v>19</v>
      </c>
      <c r="F35" s="15">
        <v>48.2</v>
      </c>
      <c r="G35" s="15">
        <v>1.1000000000000001</v>
      </c>
      <c r="H35" s="15">
        <f t="shared" si="1"/>
        <v>47.1</v>
      </c>
      <c r="I35" s="4" t="s">
        <v>20</v>
      </c>
    </row>
    <row r="36" spans="1:13" x14ac:dyDescent="0.25">
      <c r="A36" t="s">
        <v>23</v>
      </c>
      <c r="B36" t="s">
        <v>39</v>
      </c>
      <c r="C36" s="70" t="s">
        <v>22</v>
      </c>
      <c r="D36" s="70"/>
      <c r="E36" s="3">
        <f t="shared" si="2"/>
        <v>20</v>
      </c>
      <c r="F36" s="15">
        <v>48.3</v>
      </c>
      <c r="G36" s="15">
        <v>1.3</v>
      </c>
      <c r="H36" s="15">
        <f t="shared" si="1"/>
        <v>47</v>
      </c>
      <c r="I36" s="4" t="s">
        <v>20</v>
      </c>
    </row>
    <row r="37" spans="1:13" x14ac:dyDescent="0.25">
      <c r="A37" t="s">
        <v>23</v>
      </c>
      <c r="B37" t="s">
        <v>39</v>
      </c>
      <c r="C37" s="70" t="s">
        <v>22</v>
      </c>
      <c r="D37" s="70"/>
      <c r="E37" s="3">
        <f t="shared" si="2"/>
        <v>21</v>
      </c>
      <c r="F37" s="15">
        <v>47.9</v>
      </c>
      <c r="G37" s="15">
        <v>1.1000000000000001</v>
      </c>
      <c r="H37" s="15">
        <f t="shared" si="1"/>
        <v>46.8</v>
      </c>
      <c r="I37" s="4" t="s">
        <v>20</v>
      </c>
    </row>
    <row r="38" spans="1:13" x14ac:dyDescent="0.25">
      <c r="A38" t="s">
        <v>23</v>
      </c>
      <c r="B38" t="s">
        <v>39</v>
      </c>
      <c r="C38" s="70" t="s">
        <v>22</v>
      </c>
      <c r="D38" s="70"/>
      <c r="E38" s="3">
        <f t="shared" si="2"/>
        <v>22</v>
      </c>
      <c r="F38" s="15">
        <v>43</v>
      </c>
      <c r="G38" s="15">
        <v>1.1000000000000001</v>
      </c>
      <c r="H38" s="15">
        <f t="shared" si="1"/>
        <v>41.9</v>
      </c>
      <c r="I38" s="4" t="s">
        <v>20</v>
      </c>
    </row>
    <row r="39" spans="1:13" x14ac:dyDescent="0.25">
      <c r="A39" t="s">
        <v>23</v>
      </c>
      <c r="B39" t="s">
        <v>39</v>
      </c>
      <c r="C39" s="70" t="s">
        <v>22</v>
      </c>
      <c r="D39" s="70"/>
      <c r="E39" s="3">
        <f t="shared" si="2"/>
        <v>23</v>
      </c>
      <c r="F39" s="15">
        <v>50.5</v>
      </c>
      <c r="G39" s="15">
        <v>1.2</v>
      </c>
      <c r="H39" s="15">
        <f t="shared" si="1"/>
        <v>49.3</v>
      </c>
      <c r="I39" s="4" t="s">
        <v>20</v>
      </c>
    </row>
    <row r="40" spans="1:13" x14ac:dyDescent="0.25">
      <c r="A40" t="s">
        <v>23</v>
      </c>
      <c r="B40" t="s">
        <v>39</v>
      </c>
      <c r="C40" s="70" t="s">
        <v>22</v>
      </c>
      <c r="D40" s="70"/>
      <c r="E40" s="3">
        <f t="shared" si="2"/>
        <v>24</v>
      </c>
      <c r="F40" s="15">
        <v>52.5</v>
      </c>
      <c r="G40" s="15">
        <v>1</v>
      </c>
      <c r="H40" s="15">
        <f t="shared" si="1"/>
        <v>51.5</v>
      </c>
      <c r="I40" s="4" t="s">
        <v>20</v>
      </c>
    </row>
    <row r="41" spans="1:13" x14ac:dyDescent="0.25">
      <c r="A41" t="s">
        <v>23</v>
      </c>
      <c r="B41" t="s">
        <v>39</v>
      </c>
      <c r="C41" s="70" t="s">
        <v>22</v>
      </c>
      <c r="D41" s="70"/>
      <c r="E41" s="3">
        <f t="shared" si="2"/>
        <v>25</v>
      </c>
      <c r="F41" s="15">
        <v>47.5</v>
      </c>
      <c r="G41" s="15">
        <v>1.2</v>
      </c>
      <c r="H41" s="15">
        <f t="shared" si="1"/>
        <v>46.3</v>
      </c>
      <c r="I41" s="4" t="s">
        <v>20</v>
      </c>
      <c r="L41" s="3">
        <v>50.1</v>
      </c>
      <c r="M41" s="3">
        <v>1.3</v>
      </c>
    </row>
    <row r="42" spans="1:13" x14ac:dyDescent="0.25">
      <c r="A42" t="s">
        <v>23</v>
      </c>
      <c r="B42" t="s">
        <v>39</v>
      </c>
      <c r="C42" s="70" t="s">
        <v>22</v>
      </c>
      <c r="D42" s="70"/>
      <c r="E42" s="3">
        <f t="shared" si="2"/>
        <v>26</v>
      </c>
      <c r="F42" s="15">
        <v>45.7</v>
      </c>
      <c r="G42" s="15">
        <v>0.9</v>
      </c>
      <c r="H42" s="15">
        <f t="shared" si="1"/>
        <v>44.800000000000004</v>
      </c>
      <c r="I42" s="4" t="s">
        <v>20</v>
      </c>
      <c r="L42" s="3">
        <v>20.2</v>
      </c>
      <c r="M42" s="3">
        <v>0.2</v>
      </c>
    </row>
    <row r="43" spans="1:13" x14ac:dyDescent="0.25">
      <c r="A43" t="s">
        <v>23</v>
      </c>
      <c r="B43" t="s">
        <v>39</v>
      </c>
      <c r="C43" s="70" t="s">
        <v>22</v>
      </c>
      <c r="D43" s="70"/>
      <c r="E43" s="3">
        <f t="shared" si="2"/>
        <v>27</v>
      </c>
      <c r="F43" s="15">
        <v>49.3</v>
      </c>
      <c r="G43" s="15">
        <v>1.1000000000000001</v>
      </c>
      <c r="H43" s="15">
        <f t="shared" si="1"/>
        <v>48.199999999999996</v>
      </c>
      <c r="I43" s="4" t="s">
        <v>20</v>
      </c>
      <c r="L43" s="3">
        <v>22.9</v>
      </c>
      <c r="M43" s="3">
        <v>0.2</v>
      </c>
    </row>
    <row r="44" spans="1:13" x14ac:dyDescent="0.25">
      <c r="A44" t="s">
        <v>23</v>
      </c>
      <c r="B44" t="s">
        <v>39</v>
      </c>
      <c r="C44" s="70" t="s">
        <v>22</v>
      </c>
      <c r="D44" s="70"/>
      <c r="E44" s="3">
        <f t="shared" si="2"/>
        <v>28</v>
      </c>
      <c r="F44" s="15">
        <v>50.4</v>
      </c>
      <c r="G44" s="15">
        <v>1.2</v>
      </c>
      <c r="H44" s="15">
        <f t="shared" si="1"/>
        <v>49.199999999999996</v>
      </c>
      <c r="I44" s="4" t="s">
        <v>20</v>
      </c>
      <c r="L44" s="3">
        <f>SUM(L41:L43)</f>
        <v>93.199999999999989</v>
      </c>
      <c r="M44" s="3">
        <f>SUM(M41:M43)</f>
        <v>1.7</v>
      </c>
    </row>
    <row r="45" spans="1:13" x14ac:dyDescent="0.25">
      <c r="A45" t="s">
        <v>23</v>
      </c>
      <c r="B45" t="s">
        <v>39</v>
      </c>
      <c r="C45" s="70" t="s">
        <v>22</v>
      </c>
      <c r="D45" s="70"/>
      <c r="E45" s="3">
        <f t="shared" si="2"/>
        <v>29</v>
      </c>
      <c r="F45" s="15">
        <v>50</v>
      </c>
      <c r="G45" s="15">
        <v>1</v>
      </c>
      <c r="H45" s="15">
        <f t="shared" si="1"/>
        <v>49</v>
      </c>
      <c r="I45" s="4" t="s">
        <v>20</v>
      </c>
    </row>
    <row r="46" spans="1:13" ht="15.75" thickBot="1" x14ac:dyDescent="0.3">
      <c r="A46" t="s">
        <v>23</v>
      </c>
      <c r="B46" t="s">
        <v>39</v>
      </c>
      <c r="C46" s="70" t="s">
        <v>22</v>
      </c>
      <c r="D46" s="70"/>
      <c r="E46" s="3">
        <f t="shared" si="2"/>
        <v>30</v>
      </c>
      <c r="F46" s="15">
        <v>48.6</v>
      </c>
      <c r="G46" s="15">
        <v>1.1000000000000001</v>
      </c>
      <c r="H46" s="15">
        <f t="shared" si="1"/>
        <v>47.5</v>
      </c>
      <c r="I46" s="4" t="s">
        <v>20</v>
      </c>
    </row>
    <row r="47" spans="1:13" ht="16.5" thickTop="1" thickBot="1" x14ac:dyDescent="0.3">
      <c r="A47" s="75" t="s">
        <v>27</v>
      </c>
      <c r="B47" s="75"/>
      <c r="C47" s="75"/>
      <c r="D47" s="75"/>
      <c r="E47" s="12">
        <f>E46</f>
        <v>30</v>
      </c>
      <c r="F47" s="14">
        <f>SUM(F17:F46)</f>
        <v>1490.0000000000002</v>
      </c>
      <c r="G47" s="14">
        <f>SUM(G17:G46)</f>
        <v>34.600000000000009</v>
      </c>
      <c r="H47" s="14">
        <f>SUM(H17:H46)</f>
        <v>1455.4</v>
      </c>
      <c r="I47" s="13"/>
      <c r="K47" s="27">
        <f>E7-F47</f>
        <v>4.9999999999997726</v>
      </c>
    </row>
    <row r="48" spans="1:13" ht="6.75" customHeight="1" thickTop="1" x14ac:dyDescent="0.25"/>
    <row r="49" spans="1:9" ht="15.75" thickBot="1" x14ac:dyDescent="0.3">
      <c r="A49" s="1" t="s">
        <v>29</v>
      </c>
    </row>
    <row r="50" spans="1:9" ht="30" customHeight="1" thickTop="1" thickBot="1" x14ac:dyDescent="0.3">
      <c r="A50" s="9" t="s">
        <v>7</v>
      </c>
      <c r="B50" s="9" t="s">
        <v>2</v>
      </c>
      <c r="C50" s="73" t="s">
        <v>6</v>
      </c>
      <c r="D50" s="73"/>
      <c r="E50" s="11" t="s">
        <v>30</v>
      </c>
      <c r="F50" s="11" t="s">
        <v>31</v>
      </c>
      <c r="G50" s="11" t="s">
        <v>32</v>
      </c>
      <c r="H50" s="11" t="s">
        <v>33</v>
      </c>
      <c r="I50" s="11" t="s">
        <v>37</v>
      </c>
    </row>
    <row r="51" spans="1:9" ht="16.5" thickTop="1" thickBot="1" x14ac:dyDescent="0.3">
      <c r="A51" t="s">
        <v>23</v>
      </c>
      <c r="B51" t="str">
        <f>B46</f>
        <v>PAITON</v>
      </c>
      <c r="C51" s="76" t="s">
        <v>22</v>
      </c>
      <c r="D51" s="76"/>
      <c r="E51" s="15">
        <v>1186.2</v>
      </c>
      <c r="F51" s="15">
        <v>228</v>
      </c>
      <c r="G51" s="15">
        <v>27.9</v>
      </c>
      <c r="H51" s="15">
        <f>IF(E51="","",(H47-E51-F51-G51))</f>
        <v>13.300000000000047</v>
      </c>
      <c r="I51" s="15">
        <f>IF(E51="","",SUM(E51:H51))</f>
        <v>1455.4</v>
      </c>
    </row>
    <row r="52" spans="1:9" ht="16.5" thickTop="1" thickBot="1" x14ac:dyDescent="0.3">
      <c r="A52" s="77" t="s">
        <v>52</v>
      </c>
      <c r="B52" s="77"/>
      <c r="C52" s="77"/>
      <c r="D52" s="77"/>
      <c r="E52" s="38">
        <f>IF(E51="","",E51/$H47)</f>
        <v>0.81503366772021435</v>
      </c>
      <c r="F52" s="38">
        <f>IF(F51="","",F51/$H47)</f>
        <v>0.15665796344647517</v>
      </c>
      <c r="G52" s="38">
        <f t="shared" ref="G52:H52" si="3">IF(G51="","",G51/$H47)</f>
        <v>1.9169987632266041E-2</v>
      </c>
      <c r="H52" s="38">
        <f t="shared" si="3"/>
        <v>9.1383812010444182E-3</v>
      </c>
      <c r="I52" s="17">
        <f>IF(I51="","",SUM(E52:H52))</f>
        <v>1</v>
      </c>
    </row>
    <row r="53" spans="1:9" ht="15.75" thickTop="1" x14ac:dyDescent="0.25">
      <c r="A53" s="19" t="s">
        <v>16</v>
      </c>
    </row>
    <row r="54" spans="1:9" ht="10.5" customHeight="1" x14ac:dyDescent="0.25">
      <c r="A54" s="7" t="s">
        <v>36</v>
      </c>
    </row>
    <row r="55" spans="1:9" ht="10.5" customHeight="1" x14ac:dyDescent="0.25">
      <c r="A55" s="7" t="s">
        <v>35</v>
      </c>
    </row>
    <row r="56" spans="1:9" ht="10.5" customHeight="1" x14ac:dyDescent="0.25">
      <c r="A56" s="7" t="s">
        <v>34</v>
      </c>
    </row>
    <row r="57" spans="1:9" ht="10.5" customHeight="1" x14ac:dyDescent="0.25">
      <c r="A57" s="7" t="s">
        <v>50</v>
      </c>
    </row>
    <row r="58" spans="1:9" ht="6" customHeight="1" x14ac:dyDescent="0.25"/>
    <row r="59" spans="1:9" ht="15.75" thickBot="1" x14ac:dyDescent="0.3">
      <c r="A59" s="1" t="s">
        <v>54</v>
      </c>
      <c r="B59" s="1" t="s">
        <v>86</v>
      </c>
      <c r="C59" s="1"/>
    </row>
    <row r="60" spans="1:9" ht="16.5" thickTop="1" thickBot="1" x14ac:dyDescent="0.3">
      <c r="A60" s="9" t="s">
        <v>7</v>
      </c>
      <c r="B60" s="9" t="s">
        <v>2</v>
      </c>
      <c r="C60" s="73" t="s">
        <v>6</v>
      </c>
      <c r="D60" s="73"/>
      <c r="E60" s="10" t="s">
        <v>25</v>
      </c>
      <c r="F60" s="10" t="s">
        <v>3</v>
      </c>
      <c r="G60" s="10" t="s">
        <v>4</v>
      </c>
      <c r="H60" s="10" t="s">
        <v>5</v>
      </c>
      <c r="I60" s="11" t="s">
        <v>26</v>
      </c>
    </row>
    <row r="61" spans="1:9" ht="15.75" thickTop="1" x14ac:dyDescent="0.25">
      <c r="A61" t="s">
        <v>23</v>
      </c>
      <c r="B61" t="s">
        <v>62</v>
      </c>
      <c r="C61" s="74" t="s">
        <v>14</v>
      </c>
      <c r="D61" s="74"/>
      <c r="E61" s="3">
        <v>1</v>
      </c>
      <c r="F61" s="15">
        <f>K8</f>
        <v>137.79999999999998</v>
      </c>
      <c r="G61" s="15">
        <v>13.7</v>
      </c>
      <c r="H61" s="15">
        <f>F61-G61</f>
        <v>124.09999999999998</v>
      </c>
      <c r="I61" s="4" t="s">
        <v>20</v>
      </c>
    </row>
    <row r="62" spans="1:9" x14ac:dyDescent="0.25">
      <c r="A62" t="s">
        <v>23</v>
      </c>
      <c r="B62" t="s">
        <v>62</v>
      </c>
      <c r="C62" s="70" t="s">
        <v>14</v>
      </c>
      <c r="D62" s="70"/>
      <c r="E62" s="3">
        <f>E61+1</f>
        <v>2</v>
      </c>
      <c r="F62" s="15">
        <f>F61</f>
        <v>137.79999999999998</v>
      </c>
      <c r="G62" s="15">
        <v>15.8</v>
      </c>
      <c r="H62" s="15">
        <f t="shared" ref="H62:H66" si="4">F62-G62</f>
        <v>121.99999999999999</v>
      </c>
      <c r="I62" s="4" t="s">
        <v>20</v>
      </c>
    </row>
    <row r="63" spans="1:9" x14ac:dyDescent="0.25">
      <c r="A63" t="s">
        <v>23</v>
      </c>
      <c r="B63" t="s">
        <v>62</v>
      </c>
      <c r="C63" s="70" t="s">
        <v>14</v>
      </c>
      <c r="D63" s="70"/>
      <c r="E63" s="3">
        <f t="shared" ref="E63:E66" si="5">E62+1</f>
        <v>3</v>
      </c>
      <c r="F63" s="15">
        <f t="shared" ref="F63:F66" si="6">F62</f>
        <v>137.79999999999998</v>
      </c>
      <c r="G63" s="15">
        <v>15.1</v>
      </c>
      <c r="H63" s="15">
        <f t="shared" si="4"/>
        <v>122.69999999999999</v>
      </c>
      <c r="I63" s="4" t="s">
        <v>20</v>
      </c>
    </row>
    <row r="64" spans="1:9" x14ac:dyDescent="0.25">
      <c r="A64" t="s">
        <v>23</v>
      </c>
      <c r="B64" t="s">
        <v>62</v>
      </c>
      <c r="C64" s="70" t="s">
        <v>14</v>
      </c>
      <c r="D64" s="70"/>
      <c r="E64" s="3">
        <f t="shared" si="5"/>
        <v>4</v>
      </c>
      <c r="F64" s="15">
        <f t="shared" si="6"/>
        <v>137.79999999999998</v>
      </c>
      <c r="G64" s="15">
        <v>15.7</v>
      </c>
      <c r="H64" s="15">
        <f t="shared" si="4"/>
        <v>122.09999999999998</v>
      </c>
      <c r="I64" s="4" t="s">
        <v>20</v>
      </c>
    </row>
    <row r="65" spans="1:9" x14ac:dyDescent="0.25">
      <c r="A65" t="s">
        <v>23</v>
      </c>
      <c r="B65" t="s">
        <v>62</v>
      </c>
      <c r="C65" s="70" t="s">
        <v>14</v>
      </c>
      <c r="D65" s="70"/>
      <c r="E65" s="3">
        <f t="shared" si="5"/>
        <v>5</v>
      </c>
      <c r="F65" s="15">
        <f t="shared" si="6"/>
        <v>137.79999999999998</v>
      </c>
      <c r="G65" s="15">
        <v>14.8</v>
      </c>
      <c r="H65" s="15">
        <f t="shared" si="4"/>
        <v>122.99999999999999</v>
      </c>
      <c r="I65" s="4" t="s">
        <v>20</v>
      </c>
    </row>
    <row r="66" spans="1:9" ht="15.75" thickBot="1" x14ac:dyDescent="0.3">
      <c r="A66" t="s">
        <v>23</v>
      </c>
      <c r="B66" t="s">
        <v>62</v>
      </c>
      <c r="C66" s="70" t="s">
        <v>14</v>
      </c>
      <c r="D66" s="70"/>
      <c r="E66" s="3">
        <f t="shared" si="5"/>
        <v>6</v>
      </c>
      <c r="F66" s="15">
        <f t="shared" si="6"/>
        <v>137.79999999999998</v>
      </c>
      <c r="G66" s="15">
        <v>15.8</v>
      </c>
      <c r="H66" s="15">
        <f t="shared" si="4"/>
        <v>121.99999999999999</v>
      </c>
      <c r="I66" s="4" t="s">
        <v>20</v>
      </c>
    </row>
    <row r="67" spans="1:9" ht="16.5" thickTop="1" thickBot="1" x14ac:dyDescent="0.3">
      <c r="A67" s="75" t="s">
        <v>27</v>
      </c>
      <c r="B67" s="75"/>
      <c r="C67" s="75"/>
      <c r="D67" s="75"/>
      <c r="E67" s="12">
        <f>E66</f>
        <v>6</v>
      </c>
      <c r="F67" s="14">
        <f>SUM(F61:F66)</f>
        <v>826.79999999999984</v>
      </c>
      <c r="G67" s="14">
        <f>SUM(G61:G66)</f>
        <v>90.899999999999991</v>
      </c>
      <c r="H67" s="14">
        <f>SUM(H61:H66)</f>
        <v>735.89999999999986</v>
      </c>
      <c r="I67" s="13"/>
    </row>
    <row r="68" spans="1:9" ht="6" customHeight="1" thickTop="1" x14ac:dyDescent="0.25"/>
    <row r="69" spans="1:9" ht="15.75" thickBot="1" x14ac:dyDescent="0.3">
      <c r="A69" s="1" t="s">
        <v>29</v>
      </c>
    </row>
    <row r="70" spans="1:9" ht="33" customHeight="1" thickTop="1" thickBot="1" x14ac:dyDescent="0.3">
      <c r="A70" s="9" t="s">
        <v>7</v>
      </c>
      <c r="B70" s="9" t="s">
        <v>2</v>
      </c>
      <c r="C70" s="73" t="s">
        <v>6</v>
      </c>
      <c r="D70" s="73"/>
      <c r="E70" s="11" t="s">
        <v>30</v>
      </c>
      <c r="F70" s="11" t="s">
        <v>31</v>
      </c>
      <c r="G70" s="11" t="s">
        <v>32</v>
      </c>
      <c r="H70" s="11" t="s">
        <v>33</v>
      </c>
      <c r="I70" s="11" t="s">
        <v>37</v>
      </c>
    </row>
    <row r="71" spans="1:9" ht="16.5" thickTop="1" thickBot="1" x14ac:dyDescent="0.3">
      <c r="A71" t="s">
        <v>23</v>
      </c>
      <c r="B71" t="str">
        <f>B66</f>
        <v>TEMANGGUNG</v>
      </c>
      <c r="C71" s="80" t="str">
        <f>C66</f>
        <v>C48</v>
      </c>
      <c r="D71" s="80"/>
      <c r="E71" s="15">
        <v>318</v>
      </c>
      <c r="F71" s="15">
        <v>389</v>
      </c>
      <c r="G71" s="15">
        <v>16.7</v>
      </c>
      <c r="H71" s="15">
        <f>IF(E71="","",(H67-E71-F71-G71))</f>
        <v>12.199999999999864</v>
      </c>
      <c r="I71" s="15">
        <f>IF(E71="","",SUM(E71:H71))</f>
        <v>735.89999999999986</v>
      </c>
    </row>
    <row r="72" spans="1:9" ht="16.5" thickTop="1" thickBot="1" x14ac:dyDescent="0.3">
      <c r="A72" s="77" t="s">
        <v>52</v>
      </c>
      <c r="B72" s="77"/>
      <c r="C72" s="77"/>
      <c r="D72" s="77"/>
      <c r="E72" s="38">
        <f>IF(E71="","",E71/$H67)</f>
        <v>0.4321239298817775</v>
      </c>
      <c r="F72" s="54">
        <f>IF(F71="","",F71/$H67)</f>
        <v>0.52860442994972157</v>
      </c>
      <c r="G72" s="54">
        <f t="shared" ref="G72:H72" si="7">IF(G71="","",G71/$H67)</f>
        <v>2.2693300720206554E-2</v>
      </c>
      <c r="H72" s="54">
        <f t="shared" si="7"/>
        <v>1.6578339448294423E-2</v>
      </c>
      <c r="I72" s="17">
        <f>IF(I71="","",SUM(E72:H72))</f>
        <v>1</v>
      </c>
    </row>
    <row r="73" spans="1:9" ht="15.75" thickTop="1" x14ac:dyDescent="0.25">
      <c r="A73" s="19" t="s">
        <v>16</v>
      </c>
    </row>
    <row r="74" spans="1:9" ht="10.5" customHeight="1" x14ac:dyDescent="0.25">
      <c r="A74" s="7" t="s">
        <v>48</v>
      </c>
    </row>
    <row r="75" spans="1:9" ht="10.5" customHeight="1" x14ac:dyDescent="0.25">
      <c r="A75" s="7" t="s">
        <v>35</v>
      </c>
    </row>
    <row r="76" spans="1:9" ht="10.5" customHeight="1" x14ac:dyDescent="0.25">
      <c r="A76" s="7" t="s">
        <v>34</v>
      </c>
    </row>
    <row r="77" spans="1:9" ht="9.75" customHeight="1" x14ac:dyDescent="0.25">
      <c r="A77" s="7" t="s">
        <v>50</v>
      </c>
    </row>
    <row r="78" spans="1:9" ht="5.25" customHeight="1" x14ac:dyDescent="0.25"/>
  </sheetData>
  <mergeCells count="48">
    <mergeCell ref="C25:D25"/>
    <mergeCell ref="A1:I1"/>
    <mergeCell ref="A14:I14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37:D37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51:D51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A47:D47"/>
    <mergeCell ref="C50:D50"/>
    <mergeCell ref="C71:D71"/>
    <mergeCell ref="A72:D72"/>
    <mergeCell ref="C70:D70"/>
    <mergeCell ref="A52:D52"/>
    <mergeCell ref="C60:D60"/>
    <mergeCell ref="C61:D61"/>
    <mergeCell ref="C62:D62"/>
    <mergeCell ref="C63:D63"/>
    <mergeCell ref="C64:D64"/>
    <mergeCell ref="C65:D65"/>
    <mergeCell ref="C66:D66"/>
    <mergeCell ref="A67:D67"/>
  </mergeCells>
  <pageMargins left="0" right="0" top="0" bottom="0" header="0" footer="0"/>
  <pageSetup paperSize="2000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39C0-E112-4806-98BD-F161AE2B3E0D}">
  <sheetPr>
    <tabColor rgb="FF00B050"/>
  </sheetPr>
  <dimension ref="A1:L110"/>
  <sheetViews>
    <sheetView showGridLines="0" topLeftCell="A55" workbookViewId="0">
      <selection activeCell="F9" sqref="F9"/>
    </sheetView>
  </sheetViews>
  <sheetFormatPr defaultRowHeight="15" x14ac:dyDescent="0.25"/>
  <cols>
    <col min="1" max="1" width="12.140625" customWidth="1"/>
    <col min="2" max="2" width="15" customWidth="1"/>
    <col min="3" max="3" width="9.7109375" customWidth="1"/>
    <col min="4" max="4" width="8.85546875" customWidth="1"/>
    <col min="5" max="5" width="10.28515625" style="3" customWidth="1"/>
    <col min="6" max="6" width="10.42578125" customWidth="1"/>
    <col min="7" max="7" width="10.5703125" bestFit="1" customWidth="1"/>
    <col min="8" max="9" width="13.42578125" customWidth="1"/>
    <col min="11" max="12" width="0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46199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4" t="s">
        <v>121</v>
      </c>
      <c r="L6" s="4" t="s">
        <v>122</v>
      </c>
    </row>
    <row r="7" spans="1:12" ht="15.75" thickTop="1" x14ac:dyDescent="0.25">
      <c r="A7" s="5" t="s">
        <v>1</v>
      </c>
      <c r="B7" s="5" t="s">
        <v>44</v>
      </c>
      <c r="C7" s="4">
        <v>82</v>
      </c>
      <c r="D7" s="4" t="s">
        <v>22</v>
      </c>
      <c r="E7" s="15">
        <v>3521.4</v>
      </c>
      <c r="F7" s="15">
        <v>121</v>
      </c>
      <c r="G7" s="15">
        <f>E7-F7</f>
        <v>3400.4</v>
      </c>
      <c r="H7" s="6">
        <v>46193</v>
      </c>
      <c r="I7" s="6" t="s">
        <v>20</v>
      </c>
      <c r="K7" s="3">
        <v>3536.8999999999992</v>
      </c>
      <c r="L7" s="18">
        <f>E7-K7</f>
        <v>-15.499999999999091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131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44</v>
      </c>
      <c r="C16" s="74" t="s">
        <v>22</v>
      </c>
      <c r="D16" s="74"/>
      <c r="E16" s="3">
        <v>1</v>
      </c>
      <c r="F16" s="15">
        <v>40.200000000000003</v>
      </c>
      <c r="G16" s="15">
        <v>1</v>
      </c>
      <c r="H16" s="15">
        <f>F16-G16</f>
        <v>39.200000000000003</v>
      </c>
      <c r="I16" s="4" t="s">
        <v>20</v>
      </c>
    </row>
    <row r="17" spans="1:9" x14ac:dyDescent="0.25">
      <c r="A17" t="s">
        <v>23</v>
      </c>
      <c r="B17" t="s">
        <v>44</v>
      </c>
      <c r="C17" s="70" t="s">
        <v>22</v>
      </c>
      <c r="D17" s="70"/>
      <c r="E17" s="3">
        <f>E16+1</f>
        <v>2</v>
      </c>
      <c r="F17" s="15">
        <v>49.2</v>
      </c>
      <c r="G17" s="15">
        <v>1.4</v>
      </c>
      <c r="H17" s="15">
        <f t="shared" ref="H17:H24" si="0">F17-G17</f>
        <v>47.800000000000004</v>
      </c>
      <c r="I17" s="4" t="s">
        <v>20</v>
      </c>
    </row>
    <row r="18" spans="1:9" x14ac:dyDescent="0.25">
      <c r="A18" t="s">
        <v>23</v>
      </c>
      <c r="B18" t="s">
        <v>44</v>
      </c>
      <c r="C18" s="70" t="s">
        <v>22</v>
      </c>
      <c r="D18" s="70"/>
      <c r="E18" s="3">
        <f t="shared" ref="E18:E98" si="1">E17+1</f>
        <v>3</v>
      </c>
      <c r="F18" s="15">
        <v>41.9</v>
      </c>
      <c r="G18" s="15">
        <v>1.4</v>
      </c>
      <c r="H18" s="15">
        <f t="shared" si="0"/>
        <v>40.5</v>
      </c>
      <c r="I18" s="4" t="s">
        <v>20</v>
      </c>
    </row>
    <row r="19" spans="1:9" x14ac:dyDescent="0.25">
      <c r="A19" t="s">
        <v>23</v>
      </c>
      <c r="B19" t="s">
        <v>44</v>
      </c>
      <c r="C19" s="70" t="s">
        <v>22</v>
      </c>
      <c r="D19" s="70"/>
      <c r="E19" s="3">
        <f t="shared" si="1"/>
        <v>4</v>
      </c>
      <c r="F19" s="15">
        <v>44.4</v>
      </c>
      <c r="G19" s="15">
        <v>1.5</v>
      </c>
      <c r="H19" s="15">
        <f t="shared" si="0"/>
        <v>42.9</v>
      </c>
      <c r="I19" s="4" t="s">
        <v>20</v>
      </c>
    </row>
    <row r="20" spans="1:9" x14ac:dyDescent="0.25">
      <c r="A20" t="s">
        <v>23</v>
      </c>
      <c r="B20" t="s">
        <v>44</v>
      </c>
      <c r="C20" s="70" t="s">
        <v>22</v>
      </c>
      <c r="D20" s="70"/>
      <c r="E20" s="3">
        <f t="shared" si="1"/>
        <v>5</v>
      </c>
      <c r="F20" s="15">
        <v>47.6</v>
      </c>
      <c r="G20" s="15">
        <v>1.5</v>
      </c>
      <c r="H20" s="15">
        <f t="shared" si="0"/>
        <v>46.1</v>
      </c>
      <c r="I20" s="4" t="s">
        <v>20</v>
      </c>
    </row>
    <row r="21" spans="1:9" x14ac:dyDescent="0.25">
      <c r="A21" t="s">
        <v>23</v>
      </c>
      <c r="B21" t="s">
        <v>44</v>
      </c>
      <c r="C21" s="70" t="s">
        <v>22</v>
      </c>
      <c r="D21" s="70"/>
      <c r="E21" s="3">
        <f t="shared" si="1"/>
        <v>6</v>
      </c>
      <c r="F21" s="15">
        <v>42.3</v>
      </c>
      <c r="G21" s="15">
        <v>1</v>
      </c>
      <c r="H21" s="15">
        <f t="shared" si="0"/>
        <v>41.3</v>
      </c>
      <c r="I21" s="4" t="s">
        <v>20</v>
      </c>
    </row>
    <row r="22" spans="1:9" x14ac:dyDescent="0.25">
      <c r="A22" t="s">
        <v>23</v>
      </c>
      <c r="B22" t="s">
        <v>44</v>
      </c>
      <c r="C22" s="70" t="s">
        <v>22</v>
      </c>
      <c r="D22" s="70"/>
      <c r="E22" s="3">
        <f t="shared" si="1"/>
        <v>7</v>
      </c>
      <c r="F22" s="15">
        <v>53.4</v>
      </c>
      <c r="G22" s="15">
        <v>1.4</v>
      </c>
      <c r="H22" s="15">
        <f t="shared" si="0"/>
        <v>52</v>
      </c>
      <c r="I22" s="4" t="s">
        <v>20</v>
      </c>
    </row>
    <row r="23" spans="1:9" x14ac:dyDescent="0.25">
      <c r="A23" t="s">
        <v>23</v>
      </c>
      <c r="B23" t="s">
        <v>44</v>
      </c>
      <c r="C23" s="70" t="s">
        <v>22</v>
      </c>
      <c r="D23" s="70"/>
      <c r="E23" s="3">
        <f t="shared" si="1"/>
        <v>8</v>
      </c>
      <c r="F23" s="15">
        <v>40.5</v>
      </c>
      <c r="G23" s="15">
        <v>1.4</v>
      </c>
      <c r="H23" s="15">
        <f t="shared" si="0"/>
        <v>39.1</v>
      </c>
      <c r="I23" s="4" t="s">
        <v>20</v>
      </c>
    </row>
    <row r="24" spans="1:9" x14ac:dyDescent="0.25">
      <c r="A24" t="s">
        <v>23</v>
      </c>
      <c r="B24" t="s">
        <v>44</v>
      </c>
      <c r="C24" s="70" t="s">
        <v>22</v>
      </c>
      <c r="D24" s="70"/>
      <c r="E24" s="3">
        <f t="shared" si="1"/>
        <v>9</v>
      </c>
      <c r="F24" s="15">
        <v>42.4</v>
      </c>
      <c r="G24" s="15">
        <v>1.5</v>
      </c>
      <c r="H24" s="15">
        <f t="shared" si="0"/>
        <v>40.9</v>
      </c>
      <c r="I24" s="4" t="s">
        <v>20</v>
      </c>
    </row>
    <row r="25" spans="1:9" x14ac:dyDescent="0.25">
      <c r="A25" t="s">
        <v>23</v>
      </c>
      <c r="B25" t="s">
        <v>44</v>
      </c>
      <c r="C25" s="70" t="s">
        <v>22</v>
      </c>
      <c r="D25" s="70"/>
      <c r="E25" s="3">
        <f t="shared" si="1"/>
        <v>10</v>
      </c>
      <c r="F25" s="15">
        <v>46.3</v>
      </c>
      <c r="G25" s="15">
        <v>1.5</v>
      </c>
      <c r="H25" s="15">
        <f t="shared" ref="H25:H88" si="2">F25-G25</f>
        <v>44.8</v>
      </c>
      <c r="I25" s="4" t="s">
        <v>20</v>
      </c>
    </row>
    <row r="26" spans="1:9" x14ac:dyDescent="0.25">
      <c r="A26" t="s">
        <v>23</v>
      </c>
      <c r="B26" t="s">
        <v>44</v>
      </c>
      <c r="C26" s="70" t="s">
        <v>22</v>
      </c>
      <c r="D26" s="70"/>
      <c r="E26" s="3">
        <f t="shared" si="1"/>
        <v>11</v>
      </c>
      <c r="F26" s="15">
        <v>30.9</v>
      </c>
      <c r="G26" s="15">
        <v>1.1000000000000001</v>
      </c>
      <c r="H26" s="15">
        <f t="shared" si="2"/>
        <v>29.799999999999997</v>
      </c>
      <c r="I26" s="4" t="s">
        <v>20</v>
      </c>
    </row>
    <row r="27" spans="1:9" x14ac:dyDescent="0.25">
      <c r="A27" t="s">
        <v>23</v>
      </c>
      <c r="B27" t="s">
        <v>44</v>
      </c>
      <c r="C27" s="70" t="s">
        <v>22</v>
      </c>
      <c r="D27" s="70"/>
      <c r="E27" s="3">
        <f t="shared" si="1"/>
        <v>12</v>
      </c>
      <c r="F27" s="15">
        <v>41.1</v>
      </c>
      <c r="G27" s="15">
        <v>1.1000000000000001</v>
      </c>
      <c r="H27" s="15">
        <f t="shared" si="2"/>
        <v>40</v>
      </c>
      <c r="I27" s="4" t="s">
        <v>20</v>
      </c>
    </row>
    <row r="28" spans="1:9" x14ac:dyDescent="0.25">
      <c r="A28" t="s">
        <v>23</v>
      </c>
      <c r="B28" t="s">
        <v>44</v>
      </c>
      <c r="C28" s="70" t="s">
        <v>22</v>
      </c>
      <c r="D28" s="70"/>
      <c r="E28" s="3">
        <f t="shared" si="1"/>
        <v>13</v>
      </c>
      <c r="F28" s="15">
        <v>42.1</v>
      </c>
      <c r="G28" s="15">
        <v>1.4</v>
      </c>
      <c r="H28" s="15">
        <f t="shared" si="2"/>
        <v>40.700000000000003</v>
      </c>
      <c r="I28" s="4" t="s">
        <v>20</v>
      </c>
    </row>
    <row r="29" spans="1:9" x14ac:dyDescent="0.25">
      <c r="A29" t="s">
        <v>23</v>
      </c>
      <c r="B29" t="s">
        <v>44</v>
      </c>
      <c r="C29" s="70" t="s">
        <v>22</v>
      </c>
      <c r="D29" s="70"/>
      <c r="E29" s="3">
        <f t="shared" si="1"/>
        <v>14</v>
      </c>
      <c r="F29" s="15">
        <v>45.2</v>
      </c>
      <c r="G29" s="15">
        <v>1.7</v>
      </c>
      <c r="H29" s="15">
        <f t="shared" si="2"/>
        <v>43.5</v>
      </c>
      <c r="I29" s="4" t="s">
        <v>20</v>
      </c>
    </row>
    <row r="30" spans="1:9" x14ac:dyDescent="0.25">
      <c r="A30" t="s">
        <v>23</v>
      </c>
      <c r="B30" t="s">
        <v>44</v>
      </c>
      <c r="C30" s="70" t="s">
        <v>22</v>
      </c>
      <c r="D30" s="70"/>
      <c r="E30" s="3">
        <f t="shared" si="1"/>
        <v>15</v>
      </c>
      <c r="F30" s="15">
        <v>36.6</v>
      </c>
      <c r="G30" s="15">
        <v>1.5</v>
      </c>
      <c r="H30" s="15">
        <f t="shared" si="2"/>
        <v>35.1</v>
      </c>
      <c r="I30" s="4" t="s">
        <v>20</v>
      </c>
    </row>
    <row r="31" spans="1:9" x14ac:dyDescent="0.25">
      <c r="A31" t="s">
        <v>23</v>
      </c>
      <c r="B31" t="s">
        <v>44</v>
      </c>
      <c r="C31" s="70" t="s">
        <v>22</v>
      </c>
      <c r="D31" s="70"/>
      <c r="E31" s="3">
        <f t="shared" si="1"/>
        <v>16</v>
      </c>
      <c r="F31" s="15">
        <v>49.2</v>
      </c>
      <c r="G31" s="15">
        <v>1.3</v>
      </c>
      <c r="H31" s="15">
        <f t="shared" si="2"/>
        <v>47.900000000000006</v>
      </c>
      <c r="I31" s="4" t="s">
        <v>20</v>
      </c>
    </row>
    <row r="32" spans="1:9" x14ac:dyDescent="0.25">
      <c r="A32" t="s">
        <v>23</v>
      </c>
      <c r="B32" t="s">
        <v>44</v>
      </c>
      <c r="C32" s="70" t="s">
        <v>22</v>
      </c>
      <c r="D32" s="70"/>
      <c r="E32" s="3">
        <f t="shared" si="1"/>
        <v>17</v>
      </c>
      <c r="F32" s="15">
        <v>45</v>
      </c>
      <c r="G32" s="15">
        <v>1.5</v>
      </c>
      <c r="H32" s="15">
        <f t="shared" si="2"/>
        <v>43.5</v>
      </c>
      <c r="I32" s="4" t="s">
        <v>20</v>
      </c>
    </row>
    <row r="33" spans="1:9" x14ac:dyDescent="0.25">
      <c r="A33" t="s">
        <v>23</v>
      </c>
      <c r="B33" t="s">
        <v>44</v>
      </c>
      <c r="C33" s="70" t="s">
        <v>22</v>
      </c>
      <c r="D33" s="70"/>
      <c r="E33" s="3">
        <f t="shared" si="1"/>
        <v>18</v>
      </c>
      <c r="F33" s="15">
        <v>38</v>
      </c>
      <c r="G33" s="15">
        <v>1.4</v>
      </c>
      <c r="H33" s="15">
        <f t="shared" si="2"/>
        <v>36.6</v>
      </c>
      <c r="I33" s="4" t="s">
        <v>20</v>
      </c>
    </row>
    <row r="34" spans="1:9" x14ac:dyDescent="0.25">
      <c r="A34" t="s">
        <v>23</v>
      </c>
      <c r="B34" t="s">
        <v>44</v>
      </c>
      <c r="C34" s="70" t="s">
        <v>22</v>
      </c>
      <c r="D34" s="70"/>
      <c r="E34" s="3">
        <f t="shared" si="1"/>
        <v>19</v>
      </c>
      <c r="F34" s="15">
        <v>41.6</v>
      </c>
      <c r="G34" s="15">
        <v>1.2</v>
      </c>
      <c r="H34" s="15">
        <f t="shared" si="2"/>
        <v>40.4</v>
      </c>
      <c r="I34" s="4" t="s">
        <v>20</v>
      </c>
    </row>
    <row r="35" spans="1:9" x14ac:dyDescent="0.25">
      <c r="A35" t="s">
        <v>23</v>
      </c>
      <c r="B35" t="s">
        <v>44</v>
      </c>
      <c r="C35" s="70" t="s">
        <v>22</v>
      </c>
      <c r="D35" s="70"/>
      <c r="E35" s="3">
        <f t="shared" si="1"/>
        <v>20</v>
      </c>
      <c r="F35" s="15">
        <v>44</v>
      </c>
      <c r="G35" s="15">
        <v>1.5</v>
      </c>
      <c r="H35" s="15">
        <f t="shared" si="2"/>
        <v>42.5</v>
      </c>
      <c r="I35" s="4" t="s">
        <v>20</v>
      </c>
    </row>
    <row r="36" spans="1:9" x14ac:dyDescent="0.25">
      <c r="A36" t="s">
        <v>23</v>
      </c>
      <c r="B36" t="s">
        <v>44</v>
      </c>
      <c r="C36" s="70" t="s">
        <v>22</v>
      </c>
      <c r="D36" s="70"/>
      <c r="E36" s="3">
        <f t="shared" si="1"/>
        <v>21</v>
      </c>
      <c r="F36" s="15">
        <v>55.1</v>
      </c>
      <c r="G36" s="15">
        <v>1.3</v>
      </c>
      <c r="H36" s="15">
        <f t="shared" si="2"/>
        <v>53.800000000000004</v>
      </c>
      <c r="I36" s="4" t="s">
        <v>20</v>
      </c>
    </row>
    <row r="37" spans="1:9" x14ac:dyDescent="0.25">
      <c r="A37" t="s">
        <v>23</v>
      </c>
      <c r="B37" t="s">
        <v>44</v>
      </c>
      <c r="C37" s="70" t="s">
        <v>22</v>
      </c>
      <c r="D37" s="70"/>
      <c r="E37" s="3">
        <f t="shared" si="1"/>
        <v>22</v>
      </c>
      <c r="F37" s="15">
        <v>38.6</v>
      </c>
      <c r="G37" s="15">
        <v>0.8</v>
      </c>
      <c r="H37" s="15">
        <f t="shared" si="2"/>
        <v>37.800000000000004</v>
      </c>
      <c r="I37" s="4" t="s">
        <v>20</v>
      </c>
    </row>
    <row r="38" spans="1:9" x14ac:dyDescent="0.25">
      <c r="A38" t="s">
        <v>23</v>
      </c>
      <c r="B38" t="s">
        <v>44</v>
      </c>
      <c r="C38" s="70" t="s">
        <v>22</v>
      </c>
      <c r="D38" s="70"/>
      <c r="E38" s="3">
        <f t="shared" si="1"/>
        <v>23</v>
      </c>
      <c r="F38" s="15">
        <v>44</v>
      </c>
      <c r="G38" s="15">
        <v>1.6</v>
      </c>
      <c r="H38" s="15">
        <f t="shared" si="2"/>
        <v>42.4</v>
      </c>
      <c r="I38" s="4" t="s">
        <v>20</v>
      </c>
    </row>
    <row r="39" spans="1:9" x14ac:dyDescent="0.25">
      <c r="A39" t="s">
        <v>23</v>
      </c>
      <c r="B39" t="s">
        <v>44</v>
      </c>
      <c r="C39" s="70" t="s">
        <v>22</v>
      </c>
      <c r="D39" s="70"/>
      <c r="E39" s="3">
        <f t="shared" si="1"/>
        <v>24</v>
      </c>
      <c r="F39" s="15">
        <v>51.2</v>
      </c>
      <c r="G39" s="15">
        <v>1</v>
      </c>
      <c r="H39" s="15">
        <f t="shared" si="2"/>
        <v>50.2</v>
      </c>
      <c r="I39" s="4" t="s">
        <v>20</v>
      </c>
    </row>
    <row r="40" spans="1:9" x14ac:dyDescent="0.25">
      <c r="A40" t="s">
        <v>23</v>
      </c>
      <c r="B40" t="s">
        <v>44</v>
      </c>
      <c r="C40" s="70" t="s">
        <v>22</v>
      </c>
      <c r="D40" s="70"/>
      <c r="E40" s="3">
        <f t="shared" si="1"/>
        <v>25</v>
      </c>
      <c r="F40" s="15">
        <v>39.1</v>
      </c>
      <c r="G40" s="15">
        <v>2.2999999999999998</v>
      </c>
      <c r="H40" s="15">
        <f t="shared" si="2"/>
        <v>36.800000000000004</v>
      </c>
      <c r="I40" s="4" t="s">
        <v>20</v>
      </c>
    </row>
    <row r="41" spans="1:9" x14ac:dyDescent="0.25">
      <c r="A41" t="s">
        <v>23</v>
      </c>
      <c r="B41" t="s">
        <v>44</v>
      </c>
      <c r="C41" s="70" t="s">
        <v>22</v>
      </c>
      <c r="D41" s="70"/>
      <c r="E41" s="3">
        <f t="shared" si="1"/>
        <v>26</v>
      </c>
      <c r="F41" s="15">
        <v>46.3</v>
      </c>
      <c r="G41" s="15">
        <v>1.5</v>
      </c>
      <c r="H41" s="15">
        <f t="shared" si="2"/>
        <v>44.8</v>
      </c>
      <c r="I41" s="4" t="s">
        <v>20</v>
      </c>
    </row>
    <row r="42" spans="1:9" x14ac:dyDescent="0.25">
      <c r="A42" t="s">
        <v>23</v>
      </c>
      <c r="B42" t="s">
        <v>44</v>
      </c>
      <c r="C42" s="70" t="s">
        <v>22</v>
      </c>
      <c r="D42" s="70"/>
      <c r="E42" s="3">
        <f t="shared" si="1"/>
        <v>27</v>
      </c>
      <c r="F42" s="15">
        <v>40.6</v>
      </c>
      <c r="G42" s="15">
        <v>1.4</v>
      </c>
      <c r="H42" s="15">
        <f t="shared" si="2"/>
        <v>39.200000000000003</v>
      </c>
      <c r="I42" s="4" t="s">
        <v>20</v>
      </c>
    </row>
    <row r="43" spans="1:9" x14ac:dyDescent="0.25">
      <c r="A43" t="s">
        <v>23</v>
      </c>
      <c r="B43" t="s">
        <v>44</v>
      </c>
      <c r="C43" s="70" t="s">
        <v>22</v>
      </c>
      <c r="D43" s="70"/>
      <c r="E43" s="3">
        <f t="shared" si="1"/>
        <v>28</v>
      </c>
      <c r="F43" s="15">
        <v>35.200000000000003</v>
      </c>
      <c r="G43" s="15">
        <v>1.6</v>
      </c>
      <c r="H43" s="15">
        <f t="shared" si="2"/>
        <v>33.6</v>
      </c>
      <c r="I43" s="4" t="s">
        <v>20</v>
      </c>
    </row>
    <row r="44" spans="1:9" x14ac:dyDescent="0.25">
      <c r="A44" t="s">
        <v>23</v>
      </c>
      <c r="B44" t="s">
        <v>44</v>
      </c>
      <c r="C44" s="70" t="s">
        <v>22</v>
      </c>
      <c r="D44" s="70"/>
      <c r="E44" s="3">
        <f t="shared" si="1"/>
        <v>29</v>
      </c>
      <c r="F44" s="15">
        <v>39.9</v>
      </c>
      <c r="G44" s="15">
        <v>1.3</v>
      </c>
      <c r="H44" s="15">
        <f t="shared" si="2"/>
        <v>38.6</v>
      </c>
      <c r="I44" s="4" t="s">
        <v>20</v>
      </c>
    </row>
    <row r="45" spans="1:9" x14ac:dyDescent="0.25">
      <c r="A45" t="s">
        <v>23</v>
      </c>
      <c r="B45" t="s">
        <v>44</v>
      </c>
      <c r="C45" s="70" t="s">
        <v>22</v>
      </c>
      <c r="D45" s="70"/>
      <c r="E45" s="3">
        <f t="shared" si="1"/>
        <v>30</v>
      </c>
      <c r="F45" s="15">
        <v>39.6</v>
      </c>
      <c r="G45" s="15">
        <v>1.2</v>
      </c>
      <c r="H45" s="15">
        <f t="shared" si="2"/>
        <v>38.4</v>
      </c>
      <c r="I45" s="4" t="s">
        <v>20</v>
      </c>
    </row>
    <row r="46" spans="1:9" x14ac:dyDescent="0.25">
      <c r="A46" t="s">
        <v>23</v>
      </c>
      <c r="B46" t="s">
        <v>44</v>
      </c>
      <c r="C46" s="70" t="s">
        <v>22</v>
      </c>
      <c r="D46" s="70"/>
      <c r="E46" s="3">
        <f t="shared" si="1"/>
        <v>31</v>
      </c>
      <c r="F46" s="15">
        <v>61.9</v>
      </c>
      <c r="G46" s="15">
        <v>1.5</v>
      </c>
      <c r="H46" s="15">
        <f t="shared" si="2"/>
        <v>60.4</v>
      </c>
      <c r="I46" s="4" t="s">
        <v>20</v>
      </c>
    </row>
    <row r="47" spans="1:9" x14ac:dyDescent="0.25">
      <c r="A47" t="s">
        <v>23</v>
      </c>
      <c r="B47" t="s">
        <v>44</v>
      </c>
      <c r="C47" s="70" t="s">
        <v>22</v>
      </c>
      <c r="D47" s="70"/>
      <c r="E47" s="3">
        <f t="shared" si="1"/>
        <v>32</v>
      </c>
      <c r="F47" s="15">
        <v>43.5</v>
      </c>
      <c r="G47" s="15">
        <v>1.8</v>
      </c>
      <c r="H47" s="15">
        <f t="shared" si="2"/>
        <v>41.7</v>
      </c>
      <c r="I47" s="4" t="s">
        <v>20</v>
      </c>
    </row>
    <row r="48" spans="1:9" x14ac:dyDescent="0.25">
      <c r="A48" t="s">
        <v>23</v>
      </c>
      <c r="B48" t="s">
        <v>44</v>
      </c>
      <c r="C48" s="70" t="s">
        <v>22</v>
      </c>
      <c r="D48" s="70"/>
      <c r="E48" s="3">
        <f t="shared" si="1"/>
        <v>33</v>
      </c>
      <c r="F48" s="15">
        <v>56.3</v>
      </c>
      <c r="G48" s="15">
        <v>1</v>
      </c>
      <c r="H48" s="15">
        <f t="shared" si="2"/>
        <v>55.3</v>
      </c>
      <c r="I48" s="4" t="s">
        <v>20</v>
      </c>
    </row>
    <row r="49" spans="1:9" x14ac:dyDescent="0.25">
      <c r="A49" t="s">
        <v>23</v>
      </c>
      <c r="B49" t="s">
        <v>44</v>
      </c>
      <c r="C49" s="70" t="s">
        <v>22</v>
      </c>
      <c r="D49" s="70"/>
      <c r="E49" s="3">
        <f t="shared" si="1"/>
        <v>34</v>
      </c>
      <c r="F49" s="15">
        <v>49</v>
      </c>
      <c r="G49" s="15">
        <v>1.5</v>
      </c>
      <c r="H49" s="15">
        <f t="shared" si="2"/>
        <v>47.5</v>
      </c>
      <c r="I49" s="4" t="s">
        <v>20</v>
      </c>
    </row>
    <row r="50" spans="1:9" x14ac:dyDescent="0.25">
      <c r="A50" t="s">
        <v>23</v>
      </c>
      <c r="B50" t="s">
        <v>44</v>
      </c>
      <c r="C50" s="70" t="s">
        <v>22</v>
      </c>
      <c r="D50" s="70"/>
      <c r="E50" s="3">
        <f t="shared" si="1"/>
        <v>35</v>
      </c>
      <c r="F50" s="15">
        <v>45.5</v>
      </c>
      <c r="G50" s="15">
        <v>1.3</v>
      </c>
      <c r="H50" s="15">
        <f t="shared" si="2"/>
        <v>44.2</v>
      </c>
      <c r="I50" s="4" t="s">
        <v>20</v>
      </c>
    </row>
    <row r="51" spans="1:9" x14ac:dyDescent="0.25">
      <c r="A51" t="s">
        <v>23</v>
      </c>
      <c r="B51" t="s">
        <v>44</v>
      </c>
      <c r="C51" s="70" t="s">
        <v>22</v>
      </c>
      <c r="D51" s="70"/>
      <c r="E51" s="3">
        <f t="shared" si="1"/>
        <v>36</v>
      </c>
      <c r="F51" s="15">
        <v>45.6</v>
      </c>
      <c r="G51" s="15">
        <v>1.2</v>
      </c>
      <c r="H51" s="15">
        <f t="shared" si="2"/>
        <v>44.4</v>
      </c>
      <c r="I51" s="4" t="s">
        <v>20</v>
      </c>
    </row>
    <row r="52" spans="1:9" x14ac:dyDescent="0.25">
      <c r="A52" t="s">
        <v>23</v>
      </c>
      <c r="B52" t="s">
        <v>44</v>
      </c>
      <c r="C52" s="70" t="s">
        <v>22</v>
      </c>
      <c r="D52" s="70"/>
      <c r="E52" s="3">
        <f t="shared" si="1"/>
        <v>37</v>
      </c>
      <c r="F52" s="15">
        <v>50.3</v>
      </c>
      <c r="G52" s="15">
        <v>1.4</v>
      </c>
      <c r="H52" s="15">
        <f t="shared" si="2"/>
        <v>48.9</v>
      </c>
      <c r="I52" s="4" t="s">
        <v>20</v>
      </c>
    </row>
    <row r="53" spans="1:9" x14ac:dyDescent="0.25">
      <c r="A53" t="s">
        <v>23</v>
      </c>
      <c r="B53" t="s">
        <v>44</v>
      </c>
      <c r="C53" s="70" t="s">
        <v>22</v>
      </c>
      <c r="D53" s="70"/>
      <c r="E53" s="3">
        <f t="shared" si="1"/>
        <v>38</v>
      </c>
      <c r="F53" s="15">
        <v>40.200000000000003</v>
      </c>
      <c r="G53" s="15">
        <v>1.6</v>
      </c>
      <c r="H53" s="15">
        <f t="shared" si="2"/>
        <v>38.6</v>
      </c>
      <c r="I53" s="4" t="s">
        <v>20</v>
      </c>
    </row>
    <row r="54" spans="1:9" x14ac:dyDescent="0.25">
      <c r="A54" t="s">
        <v>23</v>
      </c>
      <c r="B54" t="s">
        <v>44</v>
      </c>
      <c r="C54" s="70" t="s">
        <v>22</v>
      </c>
      <c r="D54" s="70"/>
      <c r="E54" s="3">
        <f t="shared" si="1"/>
        <v>39</v>
      </c>
      <c r="F54" s="15">
        <v>40.6</v>
      </c>
      <c r="G54" s="15">
        <v>2</v>
      </c>
      <c r="H54" s="15">
        <f t="shared" si="2"/>
        <v>38.6</v>
      </c>
      <c r="I54" s="4" t="s">
        <v>20</v>
      </c>
    </row>
    <row r="55" spans="1:9" x14ac:dyDescent="0.25">
      <c r="A55" t="s">
        <v>23</v>
      </c>
      <c r="B55" t="s">
        <v>44</v>
      </c>
      <c r="C55" s="70" t="s">
        <v>22</v>
      </c>
      <c r="D55" s="70"/>
      <c r="E55" s="3">
        <f t="shared" si="1"/>
        <v>40</v>
      </c>
      <c r="F55" s="15">
        <v>41.2</v>
      </c>
      <c r="G55" s="15">
        <v>1.6</v>
      </c>
      <c r="H55" s="15">
        <f t="shared" si="2"/>
        <v>39.6</v>
      </c>
      <c r="I55" s="4" t="s">
        <v>20</v>
      </c>
    </row>
    <row r="56" spans="1:9" x14ac:dyDescent="0.25">
      <c r="A56" t="s">
        <v>23</v>
      </c>
      <c r="B56" t="s">
        <v>44</v>
      </c>
      <c r="C56" s="70" t="s">
        <v>22</v>
      </c>
      <c r="D56" s="70"/>
      <c r="E56" s="3">
        <f t="shared" si="1"/>
        <v>41</v>
      </c>
      <c r="F56" s="15">
        <v>38.6</v>
      </c>
      <c r="G56" s="15">
        <v>1.8</v>
      </c>
      <c r="H56" s="15">
        <f t="shared" si="2"/>
        <v>36.800000000000004</v>
      </c>
      <c r="I56" s="4" t="s">
        <v>20</v>
      </c>
    </row>
    <row r="57" spans="1:9" x14ac:dyDescent="0.25">
      <c r="A57" t="s">
        <v>23</v>
      </c>
      <c r="B57" t="s">
        <v>44</v>
      </c>
      <c r="C57" s="70" t="s">
        <v>22</v>
      </c>
      <c r="D57" s="70"/>
      <c r="E57" s="3">
        <f t="shared" si="1"/>
        <v>42</v>
      </c>
      <c r="F57" s="15">
        <v>41.4</v>
      </c>
      <c r="G57" s="15">
        <v>1.9</v>
      </c>
      <c r="H57" s="15">
        <f t="shared" si="2"/>
        <v>39.5</v>
      </c>
      <c r="I57" s="4" t="s">
        <v>20</v>
      </c>
    </row>
    <row r="58" spans="1:9" x14ac:dyDescent="0.25">
      <c r="A58" t="s">
        <v>23</v>
      </c>
      <c r="B58" t="s">
        <v>44</v>
      </c>
      <c r="C58" s="70" t="s">
        <v>22</v>
      </c>
      <c r="D58" s="70"/>
      <c r="E58" s="3">
        <f t="shared" si="1"/>
        <v>43</v>
      </c>
      <c r="F58" s="15">
        <v>34.4</v>
      </c>
      <c r="G58" s="15">
        <v>1.1000000000000001</v>
      </c>
      <c r="H58" s="15">
        <f t="shared" si="2"/>
        <v>33.299999999999997</v>
      </c>
      <c r="I58" s="4" t="s">
        <v>20</v>
      </c>
    </row>
    <row r="59" spans="1:9" x14ac:dyDescent="0.25">
      <c r="A59" t="s">
        <v>23</v>
      </c>
      <c r="B59" t="s">
        <v>44</v>
      </c>
      <c r="C59" s="70" t="s">
        <v>22</v>
      </c>
      <c r="D59" s="70"/>
      <c r="E59" s="3">
        <f t="shared" si="1"/>
        <v>44</v>
      </c>
      <c r="F59" s="15">
        <v>41.8</v>
      </c>
      <c r="G59" s="15">
        <v>1.2</v>
      </c>
      <c r="H59" s="15">
        <f t="shared" si="2"/>
        <v>40.599999999999994</v>
      </c>
      <c r="I59" s="4" t="s">
        <v>20</v>
      </c>
    </row>
    <row r="60" spans="1:9" x14ac:dyDescent="0.25">
      <c r="A60" t="s">
        <v>23</v>
      </c>
      <c r="B60" t="s">
        <v>44</v>
      </c>
      <c r="C60" s="70" t="s">
        <v>22</v>
      </c>
      <c r="D60" s="70"/>
      <c r="E60" s="3">
        <f t="shared" si="1"/>
        <v>45</v>
      </c>
      <c r="F60" s="15">
        <v>43.6</v>
      </c>
      <c r="G60" s="15">
        <v>1.7</v>
      </c>
      <c r="H60" s="15">
        <f t="shared" si="2"/>
        <v>41.9</v>
      </c>
      <c r="I60" s="4" t="s">
        <v>20</v>
      </c>
    </row>
    <row r="61" spans="1:9" x14ac:dyDescent="0.25">
      <c r="A61" t="s">
        <v>23</v>
      </c>
      <c r="B61" t="s">
        <v>44</v>
      </c>
      <c r="C61" s="70" t="s">
        <v>22</v>
      </c>
      <c r="D61" s="70"/>
      <c r="E61" s="3">
        <f t="shared" si="1"/>
        <v>46</v>
      </c>
      <c r="F61" s="15">
        <v>56.1</v>
      </c>
      <c r="G61" s="15">
        <v>1.3</v>
      </c>
      <c r="H61" s="15">
        <f t="shared" si="2"/>
        <v>54.800000000000004</v>
      </c>
      <c r="I61" s="4" t="s">
        <v>20</v>
      </c>
    </row>
    <row r="62" spans="1:9" x14ac:dyDescent="0.25">
      <c r="A62" t="s">
        <v>23</v>
      </c>
      <c r="B62" t="s">
        <v>44</v>
      </c>
      <c r="C62" s="70" t="s">
        <v>22</v>
      </c>
      <c r="D62" s="70"/>
      <c r="E62" s="3">
        <f t="shared" si="1"/>
        <v>47</v>
      </c>
      <c r="F62" s="15">
        <v>40.6</v>
      </c>
      <c r="G62" s="15">
        <v>1.5</v>
      </c>
      <c r="H62" s="15">
        <f t="shared" si="2"/>
        <v>39.1</v>
      </c>
      <c r="I62" s="4" t="s">
        <v>20</v>
      </c>
    </row>
    <row r="63" spans="1:9" x14ac:dyDescent="0.25">
      <c r="A63" t="s">
        <v>23</v>
      </c>
      <c r="B63" t="s">
        <v>44</v>
      </c>
      <c r="C63" s="70" t="s">
        <v>22</v>
      </c>
      <c r="D63" s="70"/>
      <c r="E63" s="3">
        <f t="shared" si="1"/>
        <v>48</v>
      </c>
      <c r="F63" s="15">
        <v>45</v>
      </c>
      <c r="G63" s="15">
        <v>1.5</v>
      </c>
      <c r="H63" s="15">
        <f t="shared" si="2"/>
        <v>43.5</v>
      </c>
      <c r="I63" s="4" t="s">
        <v>20</v>
      </c>
    </row>
    <row r="64" spans="1:9" x14ac:dyDescent="0.25">
      <c r="A64" t="s">
        <v>23</v>
      </c>
      <c r="B64" t="s">
        <v>44</v>
      </c>
      <c r="C64" s="70" t="s">
        <v>22</v>
      </c>
      <c r="D64" s="70"/>
      <c r="E64" s="3">
        <f t="shared" si="1"/>
        <v>49</v>
      </c>
      <c r="F64" s="15">
        <v>41.9</v>
      </c>
      <c r="G64" s="15">
        <v>1.7</v>
      </c>
      <c r="H64" s="15">
        <f t="shared" si="2"/>
        <v>40.199999999999996</v>
      </c>
      <c r="I64" s="4" t="s">
        <v>20</v>
      </c>
    </row>
    <row r="65" spans="1:9" x14ac:dyDescent="0.25">
      <c r="A65" t="s">
        <v>23</v>
      </c>
      <c r="B65" t="s">
        <v>44</v>
      </c>
      <c r="C65" s="70" t="s">
        <v>22</v>
      </c>
      <c r="D65" s="70"/>
      <c r="E65" s="3">
        <f t="shared" si="1"/>
        <v>50</v>
      </c>
      <c r="F65" s="15">
        <v>46.6</v>
      </c>
      <c r="G65" s="15">
        <v>1.4</v>
      </c>
      <c r="H65" s="15">
        <f t="shared" si="2"/>
        <v>45.2</v>
      </c>
      <c r="I65" s="4" t="s">
        <v>20</v>
      </c>
    </row>
    <row r="66" spans="1:9" x14ac:dyDescent="0.25">
      <c r="A66" t="s">
        <v>23</v>
      </c>
      <c r="B66" t="s">
        <v>44</v>
      </c>
      <c r="C66" s="70" t="s">
        <v>22</v>
      </c>
      <c r="D66" s="70"/>
      <c r="E66" s="3">
        <f t="shared" si="1"/>
        <v>51</v>
      </c>
      <c r="F66" s="15">
        <v>24</v>
      </c>
      <c r="G66" s="15">
        <v>1.5</v>
      </c>
      <c r="H66" s="15">
        <f t="shared" si="2"/>
        <v>22.5</v>
      </c>
      <c r="I66" s="4" t="s">
        <v>20</v>
      </c>
    </row>
    <row r="67" spans="1:9" x14ac:dyDescent="0.25">
      <c r="A67" t="s">
        <v>23</v>
      </c>
      <c r="B67" t="s">
        <v>44</v>
      </c>
      <c r="C67" s="70" t="s">
        <v>22</v>
      </c>
      <c r="D67" s="70"/>
      <c r="E67" s="3">
        <f t="shared" si="1"/>
        <v>52</v>
      </c>
      <c r="F67" s="15">
        <v>45.8</v>
      </c>
      <c r="G67" s="15">
        <v>1.6</v>
      </c>
      <c r="H67" s="15">
        <f t="shared" si="2"/>
        <v>44.199999999999996</v>
      </c>
      <c r="I67" s="4" t="s">
        <v>20</v>
      </c>
    </row>
    <row r="68" spans="1:9" x14ac:dyDescent="0.25">
      <c r="A68" t="s">
        <v>23</v>
      </c>
      <c r="B68" t="s">
        <v>44</v>
      </c>
      <c r="C68" s="70" t="s">
        <v>22</v>
      </c>
      <c r="D68" s="70"/>
      <c r="E68" s="3">
        <f t="shared" si="1"/>
        <v>53</v>
      </c>
      <c r="F68" s="15">
        <v>42.9</v>
      </c>
      <c r="G68" s="15">
        <v>1.8</v>
      </c>
      <c r="H68" s="15">
        <f t="shared" si="2"/>
        <v>41.1</v>
      </c>
      <c r="I68" s="4" t="s">
        <v>20</v>
      </c>
    </row>
    <row r="69" spans="1:9" x14ac:dyDescent="0.25">
      <c r="A69" t="s">
        <v>23</v>
      </c>
      <c r="B69" t="s">
        <v>44</v>
      </c>
      <c r="C69" s="70" t="s">
        <v>22</v>
      </c>
      <c r="D69" s="70"/>
      <c r="E69" s="3">
        <f t="shared" si="1"/>
        <v>54</v>
      </c>
      <c r="F69" s="15">
        <v>49.5</v>
      </c>
      <c r="G69" s="15">
        <v>1.9</v>
      </c>
      <c r="H69" s="15">
        <f t="shared" si="2"/>
        <v>47.6</v>
      </c>
      <c r="I69" s="4" t="s">
        <v>20</v>
      </c>
    </row>
    <row r="70" spans="1:9" x14ac:dyDescent="0.25">
      <c r="A70" t="s">
        <v>23</v>
      </c>
      <c r="B70" t="s">
        <v>44</v>
      </c>
      <c r="C70" s="70" t="s">
        <v>22</v>
      </c>
      <c r="D70" s="70"/>
      <c r="E70" s="3">
        <f t="shared" si="1"/>
        <v>55</v>
      </c>
      <c r="F70" s="15">
        <v>39.6</v>
      </c>
      <c r="G70" s="15">
        <v>1.7</v>
      </c>
      <c r="H70" s="15">
        <f t="shared" si="2"/>
        <v>37.9</v>
      </c>
      <c r="I70" s="4" t="s">
        <v>20</v>
      </c>
    </row>
    <row r="71" spans="1:9" x14ac:dyDescent="0.25">
      <c r="A71" t="s">
        <v>23</v>
      </c>
      <c r="B71" t="s">
        <v>44</v>
      </c>
      <c r="C71" s="70" t="s">
        <v>22</v>
      </c>
      <c r="D71" s="70"/>
      <c r="E71" s="3">
        <f t="shared" si="1"/>
        <v>56</v>
      </c>
      <c r="F71" s="15">
        <v>37.6</v>
      </c>
      <c r="G71" s="15">
        <v>1.6</v>
      </c>
      <c r="H71" s="15">
        <f t="shared" si="2"/>
        <v>36</v>
      </c>
      <c r="I71" s="4" t="s">
        <v>20</v>
      </c>
    </row>
    <row r="72" spans="1:9" x14ac:dyDescent="0.25">
      <c r="A72" t="s">
        <v>23</v>
      </c>
      <c r="B72" t="s">
        <v>44</v>
      </c>
      <c r="C72" s="70" t="s">
        <v>22</v>
      </c>
      <c r="D72" s="70"/>
      <c r="E72" s="3">
        <f t="shared" si="1"/>
        <v>57</v>
      </c>
      <c r="F72" s="15">
        <v>39.700000000000003</v>
      </c>
      <c r="G72" s="15">
        <v>1.3</v>
      </c>
      <c r="H72" s="15">
        <f t="shared" si="2"/>
        <v>38.400000000000006</v>
      </c>
      <c r="I72" s="4" t="s">
        <v>20</v>
      </c>
    </row>
    <row r="73" spans="1:9" x14ac:dyDescent="0.25">
      <c r="A73" t="s">
        <v>23</v>
      </c>
      <c r="B73" t="s">
        <v>44</v>
      </c>
      <c r="C73" s="70" t="s">
        <v>22</v>
      </c>
      <c r="D73" s="70"/>
      <c r="E73" s="3">
        <f t="shared" si="1"/>
        <v>58</v>
      </c>
      <c r="F73" s="15">
        <v>43.4</v>
      </c>
      <c r="G73" s="15">
        <v>1.7</v>
      </c>
      <c r="H73" s="15">
        <f t="shared" si="2"/>
        <v>41.699999999999996</v>
      </c>
      <c r="I73" s="4" t="s">
        <v>20</v>
      </c>
    </row>
    <row r="74" spans="1:9" x14ac:dyDescent="0.25">
      <c r="A74" t="s">
        <v>23</v>
      </c>
      <c r="B74" t="s">
        <v>44</v>
      </c>
      <c r="C74" s="70" t="s">
        <v>22</v>
      </c>
      <c r="D74" s="70"/>
      <c r="E74" s="3">
        <f t="shared" si="1"/>
        <v>59</v>
      </c>
      <c r="F74" s="15">
        <v>45.5</v>
      </c>
      <c r="G74" s="15">
        <v>1.8</v>
      </c>
      <c r="H74" s="15">
        <f t="shared" si="2"/>
        <v>43.7</v>
      </c>
      <c r="I74" s="4" t="s">
        <v>20</v>
      </c>
    </row>
    <row r="75" spans="1:9" x14ac:dyDescent="0.25">
      <c r="A75" t="s">
        <v>23</v>
      </c>
      <c r="B75" t="s">
        <v>44</v>
      </c>
      <c r="C75" s="70" t="s">
        <v>22</v>
      </c>
      <c r="D75" s="70"/>
      <c r="E75" s="3">
        <f t="shared" si="1"/>
        <v>60</v>
      </c>
      <c r="F75" s="15">
        <v>50.4</v>
      </c>
      <c r="G75" s="15">
        <v>1.5</v>
      </c>
      <c r="H75" s="15">
        <f t="shared" si="2"/>
        <v>48.9</v>
      </c>
      <c r="I75" s="4" t="s">
        <v>20</v>
      </c>
    </row>
    <row r="76" spans="1:9" x14ac:dyDescent="0.25">
      <c r="A76" t="s">
        <v>23</v>
      </c>
      <c r="B76" t="s">
        <v>44</v>
      </c>
      <c r="C76" s="70" t="s">
        <v>22</v>
      </c>
      <c r="D76" s="70"/>
      <c r="E76" s="3">
        <f t="shared" si="1"/>
        <v>61</v>
      </c>
      <c r="F76" s="15">
        <v>48.7</v>
      </c>
      <c r="G76" s="15">
        <v>1.9</v>
      </c>
      <c r="H76" s="15">
        <f t="shared" si="2"/>
        <v>46.800000000000004</v>
      </c>
      <c r="I76" s="4" t="s">
        <v>20</v>
      </c>
    </row>
    <row r="77" spans="1:9" x14ac:dyDescent="0.25">
      <c r="A77" t="s">
        <v>23</v>
      </c>
      <c r="B77" t="s">
        <v>44</v>
      </c>
      <c r="C77" s="70" t="s">
        <v>22</v>
      </c>
      <c r="D77" s="70"/>
      <c r="E77" s="3">
        <f t="shared" si="1"/>
        <v>62</v>
      </c>
      <c r="F77" s="15">
        <v>35</v>
      </c>
      <c r="G77" s="15">
        <v>1.3</v>
      </c>
      <c r="H77" s="15">
        <f t="shared" si="2"/>
        <v>33.700000000000003</v>
      </c>
      <c r="I77" s="4" t="s">
        <v>20</v>
      </c>
    </row>
    <row r="78" spans="1:9" x14ac:dyDescent="0.25">
      <c r="A78" t="s">
        <v>23</v>
      </c>
      <c r="B78" t="s">
        <v>44</v>
      </c>
      <c r="C78" s="70" t="s">
        <v>22</v>
      </c>
      <c r="D78" s="70"/>
      <c r="E78" s="3">
        <f t="shared" si="1"/>
        <v>63</v>
      </c>
      <c r="F78" s="15">
        <v>48.3</v>
      </c>
      <c r="G78" s="15">
        <v>1.4</v>
      </c>
      <c r="H78" s="15">
        <f t="shared" si="2"/>
        <v>46.9</v>
      </c>
      <c r="I78" s="4" t="s">
        <v>20</v>
      </c>
    </row>
    <row r="79" spans="1:9" x14ac:dyDescent="0.25">
      <c r="A79" t="s">
        <v>23</v>
      </c>
      <c r="B79" t="s">
        <v>44</v>
      </c>
      <c r="C79" s="70" t="s">
        <v>22</v>
      </c>
      <c r="D79" s="70"/>
      <c r="E79" s="3">
        <f t="shared" si="1"/>
        <v>64</v>
      </c>
      <c r="F79" s="15">
        <v>41.1</v>
      </c>
      <c r="G79" s="15">
        <v>1.5</v>
      </c>
      <c r="H79" s="15">
        <f t="shared" si="2"/>
        <v>39.6</v>
      </c>
      <c r="I79" s="4" t="s">
        <v>20</v>
      </c>
    </row>
    <row r="80" spans="1:9" x14ac:dyDescent="0.25">
      <c r="A80" t="s">
        <v>23</v>
      </c>
      <c r="B80" t="s">
        <v>44</v>
      </c>
      <c r="C80" s="70" t="s">
        <v>22</v>
      </c>
      <c r="D80" s="70"/>
      <c r="E80" s="3">
        <f t="shared" si="1"/>
        <v>65</v>
      </c>
      <c r="F80" s="15">
        <v>45.7</v>
      </c>
      <c r="G80" s="15">
        <v>1.8</v>
      </c>
      <c r="H80" s="15">
        <f t="shared" si="2"/>
        <v>43.900000000000006</v>
      </c>
      <c r="I80" s="4" t="s">
        <v>20</v>
      </c>
    </row>
    <row r="81" spans="1:9" x14ac:dyDescent="0.25">
      <c r="A81" t="s">
        <v>23</v>
      </c>
      <c r="B81" t="s">
        <v>44</v>
      </c>
      <c r="C81" s="70" t="s">
        <v>22</v>
      </c>
      <c r="D81" s="70"/>
      <c r="E81" s="3">
        <f t="shared" si="1"/>
        <v>66</v>
      </c>
      <c r="F81" s="15">
        <v>45.2</v>
      </c>
      <c r="G81" s="15">
        <v>1.7</v>
      </c>
      <c r="H81" s="15">
        <f t="shared" si="2"/>
        <v>43.5</v>
      </c>
      <c r="I81" s="4" t="s">
        <v>20</v>
      </c>
    </row>
    <row r="82" spans="1:9" x14ac:dyDescent="0.25">
      <c r="A82" t="s">
        <v>23</v>
      </c>
      <c r="B82" t="s">
        <v>44</v>
      </c>
      <c r="C82" s="70" t="s">
        <v>22</v>
      </c>
      <c r="D82" s="70"/>
      <c r="E82" s="3">
        <f t="shared" si="1"/>
        <v>67</v>
      </c>
      <c r="F82" s="15">
        <v>51.5</v>
      </c>
      <c r="G82" s="15">
        <v>1.2</v>
      </c>
      <c r="H82" s="15">
        <f t="shared" si="2"/>
        <v>50.3</v>
      </c>
      <c r="I82" s="4" t="s">
        <v>20</v>
      </c>
    </row>
    <row r="83" spans="1:9" x14ac:dyDescent="0.25">
      <c r="A83" t="s">
        <v>23</v>
      </c>
      <c r="B83" t="s">
        <v>44</v>
      </c>
      <c r="C83" s="70" t="s">
        <v>22</v>
      </c>
      <c r="D83" s="70"/>
      <c r="E83" s="3">
        <f t="shared" si="1"/>
        <v>68</v>
      </c>
      <c r="F83" s="15">
        <v>47.5</v>
      </c>
      <c r="G83" s="15">
        <v>1.5</v>
      </c>
      <c r="H83" s="15">
        <f t="shared" si="2"/>
        <v>46</v>
      </c>
      <c r="I83" s="4" t="s">
        <v>20</v>
      </c>
    </row>
    <row r="84" spans="1:9" x14ac:dyDescent="0.25">
      <c r="A84" t="s">
        <v>23</v>
      </c>
      <c r="B84" t="s">
        <v>44</v>
      </c>
      <c r="C84" s="70" t="s">
        <v>22</v>
      </c>
      <c r="D84" s="70"/>
      <c r="E84" s="3">
        <f t="shared" si="1"/>
        <v>69</v>
      </c>
      <c r="F84" s="15">
        <v>31.9</v>
      </c>
      <c r="G84" s="15">
        <v>1.1000000000000001</v>
      </c>
      <c r="H84" s="15">
        <f t="shared" si="2"/>
        <v>30.799999999999997</v>
      </c>
      <c r="I84" s="4" t="s">
        <v>20</v>
      </c>
    </row>
    <row r="85" spans="1:9" x14ac:dyDescent="0.25">
      <c r="A85" t="s">
        <v>23</v>
      </c>
      <c r="B85" t="s">
        <v>44</v>
      </c>
      <c r="C85" s="70" t="s">
        <v>22</v>
      </c>
      <c r="D85" s="70"/>
      <c r="E85" s="3">
        <f t="shared" si="1"/>
        <v>70</v>
      </c>
      <c r="F85" s="15">
        <v>55.8</v>
      </c>
      <c r="G85" s="15">
        <v>1.1000000000000001</v>
      </c>
      <c r="H85" s="15">
        <f t="shared" si="2"/>
        <v>54.699999999999996</v>
      </c>
      <c r="I85" s="4" t="s">
        <v>20</v>
      </c>
    </row>
    <row r="86" spans="1:9" x14ac:dyDescent="0.25">
      <c r="A86" t="s">
        <v>23</v>
      </c>
      <c r="B86" t="s">
        <v>44</v>
      </c>
      <c r="C86" s="70" t="s">
        <v>22</v>
      </c>
      <c r="D86" s="70"/>
      <c r="E86" s="3">
        <f t="shared" si="1"/>
        <v>71</v>
      </c>
      <c r="F86" s="15">
        <v>33.6</v>
      </c>
      <c r="G86" s="15">
        <v>1.6</v>
      </c>
      <c r="H86" s="15">
        <f t="shared" si="2"/>
        <v>32</v>
      </c>
      <c r="I86" s="4" t="s">
        <v>20</v>
      </c>
    </row>
    <row r="87" spans="1:9" x14ac:dyDescent="0.25">
      <c r="A87" t="s">
        <v>23</v>
      </c>
      <c r="B87" t="s">
        <v>44</v>
      </c>
      <c r="C87" s="70" t="s">
        <v>22</v>
      </c>
      <c r="D87" s="70"/>
      <c r="E87" s="3">
        <f t="shared" si="1"/>
        <v>72</v>
      </c>
      <c r="F87" s="15">
        <v>40.9</v>
      </c>
      <c r="G87" s="15">
        <v>0.5</v>
      </c>
      <c r="H87" s="15">
        <f t="shared" si="2"/>
        <v>40.4</v>
      </c>
      <c r="I87" s="4" t="s">
        <v>20</v>
      </c>
    </row>
    <row r="88" spans="1:9" x14ac:dyDescent="0.25">
      <c r="A88" t="s">
        <v>23</v>
      </c>
      <c r="B88" t="s">
        <v>44</v>
      </c>
      <c r="C88" s="70" t="s">
        <v>22</v>
      </c>
      <c r="D88" s="70"/>
      <c r="E88" s="3">
        <f t="shared" si="1"/>
        <v>73</v>
      </c>
      <c r="F88" s="15">
        <v>42.2</v>
      </c>
      <c r="G88" s="15">
        <v>1.8</v>
      </c>
      <c r="H88" s="15">
        <f t="shared" si="2"/>
        <v>40.400000000000006</v>
      </c>
      <c r="I88" s="4" t="s">
        <v>20</v>
      </c>
    </row>
    <row r="89" spans="1:9" x14ac:dyDescent="0.25">
      <c r="A89" t="s">
        <v>23</v>
      </c>
      <c r="B89" t="s">
        <v>44</v>
      </c>
      <c r="C89" s="70" t="s">
        <v>22</v>
      </c>
      <c r="D89" s="70"/>
      <c r="E89" s="3">
        <f t="shared" si="1"/>
        <v>74</v>
      </c>
      <c r="F89" s="15">
        <v>48.1</v>
      </c>
      <c r="G89" s="15">
        <v>2.7</v>
      </c>
      <c r="H89" s="15">
        <f t="shared" ref="H89:H98" si="3">F89-G89</f>
        <v>45.4</v>
      </c>
      <c r="I89" s="4" t="s">
        <v>20</v>
      </c>
    </row>
    <row r="90" spans="1:9" x14ac:dyDescent="0.25">
      <c r="A90" t="s">
        <v>23</v>
      </c>
      <c r="B90" t="s">
        <v>44</v>
      </c>
      <c r="C90" s="70" t="s">
        <v>22</v>
      </c>
      <c r="D90" s="70"/>
      <c r="E90" s="3">
        <f t="shared" si="1"/>
        <v>75</v>
      </c>
      <c r="F90" s="15">
        <v>23.4</v>
      </c>
      <c r="G90" s="15">
        <v>1.5</v>
      </c>
      <c r="H90" s="15">
        <f t="shared" si="3"/>
        <v>21.9</v>
      </c>
      <c r="I90" s="4" t="s">
        <v>20</v>
      </c>
    </row>
    <row r="91" spans="1:9" x14ac:dyDescent="0.25">
      <c r="A91" t="s">
        <v>23</v>
      </c>
      <c r="B91" t="s">
        <v>44</v>
      </c>
      <c r="C91" s="70" t="s">
        <v>22</v>
      </c>
      <c r="D91" s="70"/>
      <c r="E91" s="3">
        <f t="shared" si="1"/>
        <v>76</v>
      </c>
      <c r="F91" s="15">
        <v>45.6</v>
      </c>
      <c r="G91" s="15">
        <v>1.1000000000000001</v>
      </c>
      <c r="H91" s="15">
        <f t="shared" si="3"/>
        <v>44.5</v>
      </c>
      <c r="I91" s="4" t="s">
        <v>20</v>
      </c>
    </row>
    <row r="92" spans="1:9" x14ac:dyDescent="0.25">
      <c r="A92" t="s">
        <v>23</v>
      </c>
      <c r="B92" t="s">
        <v>44</v>
      </c>
      <c r="C92" s="70" t="s">
        <v>22</v>
      </c>
      <c r="D92" s="70"/>
      <c r="E92" s="3">
        <f t="shared" si="1"/>
        <v>77</v>
      </c>
      <c r="F92" s="15">
        <v>36.700000000000003</v>
      </c>
      <c r="G92" s="15">
        <v>1.2</v>
      </c>
      <c r="H92" s="15">
        <f t="shared" si="3"/>
        <v>35.5</v>
      </c>
      <c r="I92" s="4" t="s">
        <v>20</v>
      </c>
    </row>
    <row r="93" spans="1:9" x14ac:dyDescent="0.25">
      <c r="A93" t="s">
        <v>23</v>
      </c>
      <c r="B93" t="s">
        <v>44</v>
      </c>
      <c r="C93" s="70" t="s">
        <v>22</v>
      </c>
      <c r="D93" s="70"/>
      <c r="E93" s="3">
        <f t="shared" si="1"/>
        <v>78</v>
      </c>
      <c r="F93" s="15">
        <v>39.9</v>
      </c>
      <c r="G93" s="15">
        <v>1.8</v>
      </c>
      <c r="H93" s="15">
        <f t="shared" si="3"/>
        <v>38.1</v>
      </c>
      <c r="I93" s="4" t="s">
        <v>20</v>
      </c>
    </row>
    <row r="94" spans="1:9" x14ac:dyDescent="0.25">
      <c r="A94" t="s">
        <v>23</v>
      </c>
      <c r="B94" t="s">
        <v>44</v>
      </c>
      <c r="C94" s="70" t="s">
        <v>22</v>
      </c>
      <c r="D94" s="70"/>
      <c r="E94" s="3">
        <f t="shared" si="1"/>
        <v>79</v>
      </c>
      <c r="F94" s="15">
        <v>40.6</v>
      </c>
      <c r="G94" s="15">
        <v>1.7</v>
      </c>
      <c r="H94" s="15">
        <f t="shared" si="3"/>
        <v>38.9</v>
      </c>
      <c r="I94" s="4" t="s">
        <v>20</v>
      </c>
    </row>
    <row r="95" spans="1:9" x14ac:dyDescent="0.25">
      <c r="A95" t="s">
        <v>23</v>
      </c>
      <c r="B95" t="s">
        <v>44</v>
      </c>
      <c r="C95" s="70" t="s">
        <v>22</v>
      </c>
      <c r="D95" s="70"/>
      <c r="E95" s="3">
        <f t="shared" si="1"/>
        <v>80</v>
      </c>
      <c r="F95" s="15">
        <v>33.6</v>
      </c>
      <c r="G95" s="15">
        <v>1.6</v>
      </c>
      <c r="H95" s="15">
        <f t="shared" si="3"/>
        <v>32</v>
      </c>
      <c r="I95" s="4" t="s">
        <v>20</v>
      </c>
    </row>
    <row r="96" spans="1:9" x14ac:dyDescent="0.25">
      <c r="A96" t="s">
        <v>23</v>
      </c>
      <c r="B96" t="s">
        <v>44</v>
      </c>
      <c r="C96" s="70" t="s">
        <v>22</v>
      </c>
      <c r="D96" s="70"/>
      <c r="E96" s="3">
        <f t="shared" si="1"/>
        <v>81</v>
      </c>
      <c r="F96" s="15">
        <v>42</v>
      </c>
      <c r="G96" s="15">
        <v>1.4</v>
      </c>
      <c r="H96" s="15">
        <f t="shared" si="3"/>
        <v>40.6</v>
      </c>
      <c r="I96" s="4" t="s">
        <v>20</v>
      </c>
    </row>
    <row r="97" spans="1:9" x14ac:dyDescent="0.25">
      <c r="A97" t="s">
        <v>23</v>
      </c>
      <c r="B97" t="s">
        <v>44</v>
      </c>
      <c r="C97" s="70" t="s">
        <v>22</v>
      </c>
      <c r="D97" s="70"/>
      <c r="E97" s="3">
        <f t="shared" si="1"/>
        <v>82</v>
      </c>
      <c r="F97" s="15">
        <v>41.1</v>
      </c>
      <c r="G97" s="15">
        <v>1.7</v>
      </c>
      <c r="H97" s="15">
        <f t="shared" si="3"/>
        <v>39.4</v>
      </c>
      <c r="I97" s="4" t="s">
        <v>20</v>
      </c>
    </row>
    <row r="98" spans="1:9" ht="15.75" thickBot="1" x14ac:dyDescent="0.3">
      <c r="A98" t="s">
        <v>23</v>
      </c>
      <c r="B98" t="s">
        <v>44</v>
      </c>
      <c r="C98" s="70" t="s">
        <v>22</v>
      </c>
      <c r="D98" s="70"/>
      <c r="E98" s="3">
        <f t="shared" si="1"/>
        <v>83</v>
      </c>
      <c r="F98" s="15">
        <v>4.5</v>
      </c>
      <c r="G98" s="15">
        <v>0.2</v>
      </c>
      <c r="H98" s="15">
        <f t="shared" si="3"/>
        <v>4.3</v>
      </c>
      <c r="I98" s="4" t="s">
        <v>42</v>
      </c>
    </row>
    <row r="99" spans="1:9" ht="16.5" thickTop="1" thickBot="1" x14ac:dyDescent="0.3">
      <c r="A99" s="75" t="s">
        <v>27</v>
      </c>
      <c r="B99" s="75"/>
      <c r="C99" s="75"/>
      <c r="D99" s="75"/>
      <c r="E99" s="12">
        <f>E98</f>
        <v>83</v>
      </c>
      <c r="F99" s="14">
        <f>SUM(F16:F98)</f>
        <v>3536.8999999999992</v>
      </c>
      <c r="G99" s="14">
        <f>SUM(G16:G98)</f>
        <v>121</v>
      </c>
      <c r="H99" s="14">
        <f>SUM(H16:H98)</f>
        <v>3415.8999999999996</v>
      </c>
      <c r="I99" s="13"/>
    </row>
    <row r="100" spans="1:9" ht="6.75" customHeight="1" thickTop="1" x14ac:dyDescent="0.25"/>
    <row r="101" spans="1:9" ht="15.75" thickBot="1" x14ac:dyDescent="0.3">
      <c r="A101" s="1" t="s">
        <v>29</v>
      </c>
    </row>
    <row r="102" spans="1:9" ht="30" customHeight="1" thickTop="1" thickBot="1" x14ac:dyDescent="0.3">
      <c r="A102" s="9" t="s">
        <v>7</v>
      </c>
      <c r="B102" s="9" t="s">
        <v>2</v>
      </c>
      <c r="C102" s="73" t="s">
        <v>6</v>
      </c>
      <c r="D102" s="73"/>
      <c r="E102" s="11" t="s">
        <v>30</v>
      </c>
      <c r="F102" s="11" t="s">
        <v>31</v>
      </c>
      <c r="G102" s="11" t="s">
        <v>32</v>
      </c>
      <c r="H102" s="11" t="s">
        <v>33</v>
      </c>
      <c r="I102" s="11" t="s">
        <v>37</v>
      </c>
    </row>
    <row r="103" spans="1:9" ht="16.5" thickTop="1" thickBot="1" x14ac:dyDescent="0.3">
      <c r="A103" t="s">
        <v>23</v>
      </c>
      <c r="B103" t="str">
        <f>B98</f>
        <v>PLOSO</v>
      </c>
      <c r="C103" s="76" t="s">
        <v>22</v>
      </c>
      <c r="D103" s="76"/>
      <c r="E103" s="15">
        <v>2561.6</v>
      </c>
      <c r="F103" s="15">
        <v>753.6</v>
      </c>
      <c r="G103" s="15">
        <v>66</v>
      </c>
      <c r="H103" s="15">
        <f>IF(E103="","",(H99-E103-F103-G103))</f>
        <v>34.699999999999704</v>
      </c>
      <c r="I103" s="15">
        <f>IF(E103="","",SUM(E103:H103))</f>
        <v>3415.8999999999996</v>
      </c>
    </row>
    <row r="104" spans="1:9" ht="16.5" thickTop="1" thickBot="1" x14ac:dyDescent="0.3">
      <c r="A104" s="77" t="s">
        <v>52</v>
      </c>
      <c r="B104" s="77"/>
      <c r="C104" s="77"/>
      <c r="D104" s="77"/>
      <c r="E104" s="38">
        <f>IF(E103="","",E103/$H99)</f>
        <v>0.7499048566995522</v>
      </c>
      <c r="F104" s="38">
        <f>IF(F103="","",F103/$H99)</f>
        <v>0.22061535759243542</v>
      </c>
      <c r="G104" s="38">
        <f t="shared" ref="G104:H104" si="4">IF(G103="","",G103/$H99)</f>
        <v>1.9321408706343864E-2</v>
      </c>
      <c r="H104" s="38">
        <f t="shared" si="4"/>
        <v>1.0158377001668582E-2</v>
      </c>
      <c r="I104" s="17">
        <f>IF(I103="","",SUM(E104:H104))</f>
        <v>1.0000000000000002</v>
      </c>
    </row>
    <row r="105" spans="1:9" ht="15.75" thickTop="1" x14ac:dyDescent="0.25">
      <c r="A105" s="19" t="s">
        <v>16</v>
      </c>
    </row>
    <row r="106" spans="1:9" ht="10.5" customHeight="1" x14ac:dyDescent="0.25">
      <c r="A106" s="7" t="s">
        <v>36</v>
      </c>
    </row>
    <row r="107" spans="1:9" ht="10.5" customHeight="1" x14ac:dyDescent="0.25">
      <c r="A107" s="7" t="s">
        <v>35</v>
      </c>
    </row>
    <row r="108" spans="1:9" ht="10.5" customHeight="1" x14ac:dyDescent="0.25">
      <c r="A108" s="7" t="s">
        <v>34</v>
      </c>
    </row>
    <row r="109" spans="1:9" ht="10.5" customHeight="1" x14ac:dyDescent="0.25">
      <c r="A109" s="7" t="s">
        <v>50</v>
      </c>
    </row>
    <row r="110" spans="1:9" ht="6" customHeight="1" x14ac:dyDescent="0.25"/>
  </sheetData>
  <mergeCells count="90">
    <mergeCell ref="C74:D74"/>
    <mergeCell ref="C72:D72"/>
    <mergeCell ref="C64:D64"/>
    <mergeCell ref="C65:D65"/>
    <mergeCell ref="C66:D66"/>
    <mergeCell ref="C67:D67"/>
    <mergeCell ref="C71:D71"/>
    <mergeCell ref="C63:D63"/>
    <mergeCell ref="C68:D68"/>
    <mergeCell ref="C69:D69"/>
    <mergeCell ref="C70:D70"/>
    <mergeCell ref="C73:D73"/>
    <mergeCell ref="C62:D62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38:D38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96:D96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80:D80"/>
    <mergeCell ref="A104:D104"/>
    <mergeCell ref="A99:D99"/>
    <mergeCell ref="C102:D102"/>
    <mergeCell ref="C103:D103"/>
    <mergeCell ref="C97:D97"/>
    <mergeCell ref="C98:D98"/>
    <mergeCell ref="C24:D24"/>
    <mergeCell ref="A1:I1"/>
    <mergeCell ref="A13:I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</mergeCells>
  <printOptions horizontalCentered="1"/>
  <pageMargins left="0" right="0" top="0" bottom="0" header="0" footer="0"/>
  <pageSetup paperSize="346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E25D-B078-408D-A830-0A7E3A0F7342}">
  <sheetPr>
    <tabColor rgb="FF00B050"/>
  </sheetPr>
  <dimension ref="A1:L110"/>
  <sheetViews>
    <sheetView showGridLines="0" topLeftCell="A22" workbookViewId="0">
      <selection activeCell="K18" sqref="K18"/>
    </sheetView>
  </sheetViews>
  <sheetFormatPr defaultRowHeight="15" x14ac:dyDescent="0.25"/>
  <cols>
    <col min="1" max="1" width="13.42578125" customWidth="1"/>
    <col min="2" max="2" width="11.140625" customWidth="1"/>
    <col min="3" max="3" width="9.7109375" customWidth="1"/>
    <col min="4" max="4" width="10.5703125" bestFit="1" customWidth="1"/>
    <col min="5" max="5" width="10.28515625" style="3" customWidth="1"/>
    <col min="6" max="6" width="10.42578125" customWidth="1"/>
    <col min="7" max="7" width="10.5703125" bestFit="1" customWidth="1"/>
    <col min="8" max="8" width="14.42578125" customWidth="1"/>
    <col min="9" max="9" width="13.28515625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142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46212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39</v>
      </c>
      <c r="C7" s="4">
        <v>83</v>
      </c>
      <c r="D7" s="4" t="s">
        <v>22</v>
      </c>
      <c r="E7" s="15">
        <v>3731.1</v>
      </c>
      <c r="F7" s="15">
        <f>G99</f>
        <v>105.29999999999995</v>
      </c>
      <c r="G7" s="15">
        <f>E7-F7</f>
        <v>3625.8</v>
      </c>
      <c r="H7" s="6">
        <v>46198</v>
      </c>
      <c r="I7" s="6" t="s">
        <v>20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143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53</v>
      </c>
      <c r="B14" s="1" t="s">
        <v>91</v>
      </c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39</v>
      </c>
      <c r="C16" s="74" t="s">
        <v>22</v>
      </c>
      <c r="D16" s="74"/>
      <c r="E16" s="3">
        <v>1</v>
      </c>
      <c r="F16" s="15">
        <v>43.1</v>
      </c>
      <c r="G16" s="15">
        <v>1.1000000000000001</v>
      </c>
      <c r="H16" s="15">
        <f>F16-G16</f>
        <v>42</v>
      </c>
      <c r="I16" s="4" t="s">
        <v>20</v>
      </c>
    </row>
    <row r="17" spans="1:10" x14ac:dyDescent="0.25">
      <c r="A17" t="s">
        <v>23</v>
      </c>
      <c r="B17" t="s">
        <v>39</v>
      </c>
      <c r="C17" s="70" t="s">
        <v>22</v>
      </c>
      <c r="D17" s="70"/>
      <c r="E17" s="3">
        <f>E16+1</f>
        <v>2</v>
      </c>
      <c r="F17" s="15">
        <v>45.9</v>
      </c>
      <c r="G17" s="15">
        <v>0.9</v>
      </c>
      <c r="H17" s="15">
        <f t="shared" ref="H17:H80" si="0">F17-G17</f>
        <v>45</v>
      </c>
      <c r="I17" s="4" t="s">
        <v>20</v>
      </c>
    </row>
    <row r="18" spans="1:10" x14ac:dyDescent="0.25">
      <c r="A18" t="s">
        <v>23</v>
      </c>
      <c r="B18" t="s">
        <v>39</v>
      </c>
      <c r="C18" s="70" t="s">
        <v>22</v>
      </c>
      <c r="D18" s="70"/>
      <c r="E18" s="3">
        <f t="shared" ref="E18:E81" si="1">E17+1</f>
        <v>3</v>
      </c>
      <c r="F18" s="15">
        <v>41.3</v>
      </c>
      <c r="G18" s="15">
        <v>1.2</v>
      </c>
      <c r="H18" s="15">
        <f t="shared" si="0"/>
        <v>40.099999999999994</v>
      </c>
      <c r="I18" s="4" t="s">
        <v>20</v>
      </c>
    </row>
    <row r="19" spans="1:10" x14ac:dyDescent="0.25">
      <c r="A19" t="s">
        <v>23</v>
      </c>
      <c r="B19" t="s">
        <v>39</v>
      </c>
      <c r="C19" s="70" t="s">
        <v>22</v>
      </c>
      <c r="D19" s="70"/>
      <c r="E19" s="3">
        <f t="shared" si="1"/>
        <v>4</v>
      </c>
      <c r="F19" s="15">
        <v>50.2</v>
      </c>
      <c r="G19" s="15">
        <v>1</v>
      </c>
      <c r="H19" s="15">
        <f t="shared" si="0"/>
        <v>49.2</v>
      </c>
      <c r="I19" s="4" t="s">
        <v>20</v>
      </c>
    </row>
    <row r="20" spans="1:10" x14ac:dyDescent="0.25">
      <c r="A20" t="s">
        <v>23</v>
      </c>
      <c r="B20" t="s">
        <v>39</v>
      </c>
      <c r="C20" s="70" t="s">
        <v>22</v>
      </c>
      <c r="D20" s="70"/>
      <c r="E20" s="3">
        <f t="shared" si="1"/>
        <v>5</v>
      </c>
      <c r="F20" s="15">
        <v>47.2</v>
      </c>
      <c r="G20" s="15">
        <v>1.6</v>
      </c>
      <c r="H20" s="15">
        <f t="shared" si="0"/>
        <v>45.6</v>
      </c>
      <c r="I20" s="4" t="s">
        <v>20</v>
      </c>
    </row>
    <row r="21" spans="1:10" x14ac:dyDescent="0.25">
      <c r="A21" t="s">
        <v>23</v>
      </c>
      <c r="B21" t="s">
        <v>39</v>
      </c>
      <c r="C21" s="70" t="s">
        <v>22</v>
      </c>
      <c r="D21" s="70"/>
      <c r="E21" s="3">
        <f t="shared" si="1"/>
        <v>6</v>
      </c>
      <c r="F21" s="15">
        <v>42.6</v>
      </c>
      <c r="G21" s="15">
        <v>1.4</v>
      </c>
      <c r="H21" s="15">
        <f t="shared" si="0"/>
        <v>41.2</v>
      </c>
      <c r="I21" s="4" t="s">
        <v>20</v>
      </c>
      <c r="J21" s="15"/>
    </row>
    <row r="22" spans="1:10" x14ac:dyDescent="0.25">
      <c r="A22" t="s">
        <v>23</v>
      </c>
      <c r="B22" t="s">
        <v>39</v>
      </c>
      <c r="C22" s="70" t="s">
        <v>22</v>
      </c>
      <c r="D22" s="70"/>
      <c r="E22" s="3">
        <f t="shared" si="1"/>
        <v>7</v>
      </c>
      <c r="F22" s="15">
        <v>49.2</v>
      </c>
      <c r="G22" s="15">
        <v>1.1000000000000001</v>
      </c>
      <c r="H22" s="15">
        <f t="shared" si="0"/>
        <v>48.1</v>
      </c>
      <c r="I22" s="4" t="s">
        <v>20</v>
      </c>
      <c r="J22" s="15"/>
    </row>
    <row r="23" spans="1:10" x14ac:dyDescent="0.25">
      <c r="A23" t="s">
        <v>23</v>
      </c>
      <c r="B23" t="s">
        <v>39</v>
      </c>
      <c r="C23" s="70" t="s">
        <v>22</v>
      </c>
      <c r="D23" s="70"/>
      <c r="E23" s="3">
        <f t="shared" si="1"/>
        <v>8</v>
      </c>
      <c r="F23" s="15">
        <v>43.8</v>
      </c>
      <c r="G23" s="15">
        <v>1.5</v>
      </c>
      <c r="H23" s="15">
        <f t="shared" si="0"/>
        <v>42.3</v>
      </c>
      <c r="I23" s="4" t="s">
        <v>20</v>
      </c>
      <c r="J23" s="15"/>
    </row>
    <row r="24" spans="1:10" x14ac:dyDescent="0.25">
      <c r="A24" t="s">
        <v>23</v>
      </c>
      <c r="B24" t="s">
        <v>39</v>
      </c>
      <c r="C24" s="70" t="s">
        <v>22</v>
      </c>
      <c r="D24" s="70"/>
      <c r="E24" s="3">
        <f t="shared" si="1"/>
        <v>9</v>
      </c>
      <c r="F24" s="15">
        <v>45.4</v>
      </c>
      <c r="G24" s="15">
        <v>1.1000000000000001</v>
      </c>
      <c r="H24" s="15">
        <f t="shared" si="0"/>
        <v>44.3</v>
      </c>
      <c r="I24" s="4" t="s">
        <v>20</v>
      </c>
      <c r="J24" s="15"/>
    </row>
    <row r="25" spans="1:10" x14ac:dyDescent="0.25">
      <c r="A25" t="s">
        <v>23</v>
      </c>
      <c r="B25" t="s">
        <v>39</v>
      </c>
      <c r="C25" s="70" t="s">
        <v>22</v>
      </c>
      <c r="D25" s="70"/>
      <c r="E25" s="3">
        <f t="shared" si="1"/>
        <v>10</v>
      </c>
      <c r="F25" s="15">
        <v>48.2</v>
      </c>
      <c r="G25" s="15">
        <v>1.2</v>
      </c>
      <c r="H25" s="15">
        <f t="shared" si="0"/>
        <v>47</v>
      </c>
      <c r="I25" s="4" t="s">
        <v>20</v>
      </c>
      <c r="J25" s="15"/>
    </row>
    <row r="26" spans="1:10" x14ac:dyDescent="0.25">
      <c r="A26" t="s">
        <v>23</v>
      </c>
      <c r="B26" t="s">
        <v>39</v>
      </c>
      <c r="C26" s="70" t="s">
        <v>22</v>
      </c>
      <c r="D26" s="70"/>
      <c r="E26" s="3">
        <f t="shared" si="1"/>
        <v>11</v>
      </c>
      <c r="F26" s="15">
        <v>47.2</v>
      </c>
      <c r="G26" s="15">
        <v>1.2</v>
      </c>
      <c r="H26" s="15">
        <f t="shared" si="0"/>
        <v>46</v>
      </c>
      <c r="I26" s="4" t="s">
        <v>20</v>
      </c>
      <c r="J26" s="15"/>
    </row>
    <row r="27" spans="1:10" x14ac:dyDescent="0.25">
      <c r="A27" t="s">
        <v>23</v>
      </c>
      <c r="B27" t="s">
        <v>39</v>
      </c>
      <c r="C27" s="70" t="s">
        <v>22</v>
      </c>
      <c r="D27" s="70"/>
      <c r="E27" s="3">
        <f t="shared" si="1"/>
        <v>12</v>
      </c>
      <c r="F27" s="15">
        <v>44.6</v>
      </c>
      <c r="G27" s="15">
        <v>1.1000000000000001</v>
      </c>
      <c r="H27" s="15">
        <f t="shared" si="0"/>
        <v>43.5</v>
      </c>
      <c r="I27" s="4" t="s">
        <v>20</v>
      </c>
      <c r="J27" s="15"/>
    </row>
    <row r="28" spans="1:10" x14ac:dyDescent="0.25">
      <c r="A28" t="s">
        <v>23</v>
      </c>
      <c r="B28" t="s">
        <v>39</v>
      </c>
      <c r="C28" s="70" t="s">
        <v>22</v>
      </c>
      <c r="D28" s="70"/>
      <c r="E28" s="3">
        <f t="shared" si="1"/>
        <v>13</v>
      </c>
      <c r="F28" s="15">
        <v>42.5</v>
      </c>
      <c r="G28" s="15">
        <v>1.5</v>
      </c>
      <c r="H28" s="15">
        <f t="shared" si="0"/>
        <v>41</v>
      </c>
      <c r="I28" s="4" t="s">
        <v>20</v>
      </c>
      <c r="J28" s="15"/>
    </row>
    <row r="29" spans="1:10" x14ac:dyDescent="0.25">
      <c r="A29" t="s">
        <v>23</v>
      </c>
      <c r="B29" t="s">
        <v>39</v>
      </c>
      <c r="C29" s="70" t="s">
        <v>22</v>
      </c>
      <c r="D29" s="70"/>
      <c r="E29" s="3">
        <f t="shared" si="1"/>
        <v>14</v>
      </c>
      <c r="F29" s="15">
        <v>45.9</v>
      </c>
      <c r="G29" s="15">
        <v>1.2</v>
      </c>
      <c r="H29" s="15">
        <f t="shared" si="0"/>
        <v>44.699999999999996</v>
      </c>
      <c r="I29" s="4" t="s">
        <v>20</v>
      </c>
      <c r="J29" s="15"/>
    </row>
    <row r="30" spans="1:10" x14ac:dyDescent="0.25">
      <c r="A30" t="s">
        <v>23</v>
      </c>
      <c r="B30" t="s">
        <v>39</v>
      </c>
      <c r="C30" s="70" t="s">
        <v>22</v>
      </c>
      <c r="D30" s="70"/>
      <c r="E30" s="3">
        <f t="shared" si="1"/>
        <v>15</v>
      </c>
      <c r="F30" s="15">
        <v>41.9</v>
      </c>
      <c r="G30" s="15">
        <v>1.5</v>
      </c>
      <c r="H30" s="15">
        <f t="shared" si="0"/>
        <v>40.4</v>
      </c>
      <c r="I30" s="4" t="s">
        <v>20</v>
      </c>
      <c r="J30" s="15"/>
    </row>
    <row r="31" spans="1:10" x14ac:dyDescent="0.25">
      <c r="A31" t="s">
        <v>23</v>
      </c>
      <c r="B31" t="s">
        <v>39</v>
      </c>
      <c r="C31" s="70" t="s">
        <v>22</v>
      </c>
      <c r="D31" s="70"/>
      <c r="E31" s="3">
        <f t="shared" si="1"/>
        <v>16</v>
      </c>
      <c r="F31" s="15">
        <v>42.5</v>
      </c>
      <c r="G31" s="15">
        <v>1</v>
      </c>
      <c r="H31" s="15">
        <f t="shared" si="0"/>
        <v>41.5</v>
      </c>
      <c r="I31" s="4" t="s">
        <v>20</v>
      </c>
      <c r="J31" s="15"/>
    </row>
    <row r="32" spans="1:10" x14ac:dyDescent="0.25">
      <c r="A32" t="s">
        <v>23</v>
      </c>
      <c r="B32" t="s">
        <v>39</v>
      </c>
      <c r="C32" s="70" t="s">
        <v>22</v>
      </c>
      <c r="D32" s="70"/>
      <c r="E32" s="3">
        <f t="shared" si="1"/>
        <v>17</v>
      </c>
      <c r="F32" s="15">
        <v>43</v>
      </c>
      <c r="G32" s="15">
        <v>1.2</v>
      </c>
      <c r="H32" s="15">
        <f t="shared" si="0"/>
        <v>41.8</v>
      </c>
      <c r="I32" s="4" t="s">
        <v>20</v>
      </c>
      <c r="J32" s="15"/>
    </row>
    <row r="33" spans="1:10" x14ac:dyDescent="0.25">
      <c r="A33" t="s">
        <v>23</v>
      </c>
      <c r="B33" t="s">
        <v>39</v>
      </c>
      <c r="C33" s="70" t="s">
        <v>22</v>
      </c>
      <c r="D33" s="70"/>
      <c r="E33" s="3">
        <f t="shared" si="1"/>
        <v>18</v>
      </c>
      <c r="F33" s="15">
        <v>48.3</v>
      </c>
      <c r="G33" s="15">
        <v>1</v>
      </c>
      <c r="H33" s="15">
        <f t="shared" si="0"/>
        <v>47.3</v>
      </c>
      <c r="I33" s="4" t="s">
        <v>20</v>
      </c>
      <c r="J33" s="15"/>
    </row>
    <row r="34" spans="1:10" x14ac:dyDescent="0.25">
      <c r="A34" t="s">
        <v>23</v>
      </c>
      <c r="B34" t="s">
        <v>39</v>
      </c>
      <c r="C34" s="70" t="s">
        <v>22</v>
      </c>
      <c r="D34" s="70"/>
      <c r="E34" s="3">
        <f t="shared" si="1"/>
        <v>19</v>
      </c>
      <c r="F34" s="15">
        <v>44.4</v>
      </c>
      <c r="G34" s="15">
        <v>1.5</v>
      </c>
      <c r="H34" s="15">
        <f t="shared" si="0"/>
        <v>42.9</v>
      </c>
      <c r="I34" s="4" t="s">
        <v>20</v>
      </c>
      <c r="J34" s="15"/>
    </row>
    <row r="35" spans="1:10" x14ac:dyDescent="0.25">
      <c r="A35" t="s">
        <v>23</v>
      </c>
      <c r="B35" t="s">
        <v>39</v>
      </c>
      <c r="C35" s="70" t="s">
        <v>22</v>
      </c>
      <c r="D35" s="70"/>
      <c r="E35" s="3">
        <f t="shared" si="1"/>
        <v>20</v>
      </c>
      <c r="F35" s="15">
        <v>44.5</v>
      </c>
      <c r="G35" s="15">
        <v>1.6</v>
      </c>
      <c r="H35" s="15">
        <f t="shared" si="0"/>
        <v>42.9</v>
      </c>
      <c r="I35" s="4" t="s">
        <v>20</v>
      </c>
      <c r="J35" s="15"/>
    </row>
    <row r="36" spans="1:10" x14ac:dyDescent="0.25">
      <c r="A36" t="s">
        <v>23</v>
      </c>
      <c r="B36" t="s">
        <v>39</v>
      </c>
      <c r="C36" s="70" t="s">
        <v>22</v>
      </c>
      <c r="D36" s="70"/>
      <c r="E36" s="3">
        <f t="shared" si="1"/>
        <v>21</v>
      </c>
      <c r="F36" s="15">
        <v>44.3</v>
      </c>
      <c r="G36" s="15">
        <v>1.9</v>
      </c>
      <c r="H36" s="15">
        <f t="shared" si="0"/>
        <v>42.4</v>
      </c>
      <c r="I36" s="4" t="s">
        <v>20</v>
      </c>
      <c r="J36" s="15"/>
    </row>
    <row r="37" spans="1:10" x14ac:dyDescent="0.25">
      <c r="A37" t="s">
        <v>23</v>
      </c>
      <c r="B37" t="s">
        <v>39</v>
      </c>
      <c r="C37" s="70" t="s">
        <v>22</v>
      </c>
      <c r="D37" s="70"/>
      <c r="E37" s="3">
        <f t="shared" si="1"/>
        <v>22</v>
      </c>
      <c r="F37" s="15">
        <v>47</v>
      </c>
      <c r="G37" s="15">
        <v>1.6</v>
      </c>
      <c r="H37" s="15">
        <f t="shared" si="0"/>
        <v>45.4</v>
      </c>
      <c r="I37" s="4" t="s">
        <v>20</v>
      </c>
      <c r="J37" s="15"/>
    </row>
    <row r="38" spans="1:10" x14ac:dyDescent="0.25">
      <c r="A38" t="s">
        <v>23</v>
      </c>
      <c r="B38" t="s">
        <v>39</v>
      </c>
      <c r="C38" s="70" t="s">
        <v>22</v>
      </c>
      <c r="D38" s="70"/>
      <c r="E38" s="3">
        <f t="shared" si="1"/>
        <v>23</v>
      </c>
      <c r="F38" s="15">
        <v>49.4</v>
      </c>
      <c r="G38" s="15">
        <v>1</v>
      </c>
      <c r="H38" s="15">
        <f t="shared" si="0"/>
        <v>48.4</v>
      </c>
      <c r="I38" s="4" t="s">
        <v>20</v>
      </c>
      <c r="J38" s="15"/>
    </row>
    <row r="39" spans="1:10" x14ac:dyDescent="0.25">
      <c r="A39" t="s">
        <v>23</v>
      </c>
      <c r="B39" t="s">
        <v>39</v>
      </c>
      <c r="C39" s="70" t="s">
        <v>22</v>
      </c>
      <c r="D39" s="70"/>
      <c r="E39" s="3">
        <f t="shared" si="1"/>
        <v>24</v>
      </c>
      <c r="F39" s="15">
        <v>42.6</v>
      </c>
      <c r="G39" s="15">
        <v>1.4</v>
      </c>
      <c r="H39" s="15">
        <f t="shared" si="0"/>
        <v>41.2</v>
      </c>
      <c r="I39" s="4" t="s">
        <v>20</v>
      </c>
      <c r="J39" s="15"/>
    </row>
    <row r="40" spans="1:10" x14ac:dyDescent="0.25">
      <c r="A40" t="s">
        <v>23</v>
      </c>
      <c r="B40" t="s">
        <v>39</v>
      </c>
      <c r="C40" s="70" t="s">
        <v>22</v>
      </c>
      <c r="D40" s="70"/>
      <c r="E40" s="3">
        <f t="shared" si="1"/>
        <v>25</v>
      </c>
      <c r="F40" s="15">
        <v>41.8</v>
      </c>
      <c r="G40" s="15">
        <v>1.8</v>
      </c>
      <c r="H40" s="15">
        <f t="shared" si="0"/>
        <v>40</v>
      </c>
      <c r="I40" s="4" t="s">
        <v>20</v>
      </c>
      <c r="J40" s="15"/>
    </row>
    <row r="41" spans="1:10" x14ac:dyDescent="0.25">
      <c r="A41" t="s">
        <v>23</v>
      </c>
      <c r="B41" t="s">
        <v>39</v>
      </c>
      <c r="C41" s="70" t="s">
        <v>22</v>
      </c>
      <c r="D41" s="70"/>
      <c r="E41" s="3">
        <f t="shared" si="1"/>
        <v>26</v>
      </c>
      <c r="F41" s="15">
        <v>44.7</v>
      </c>
      <c r="G41" s="15">
        <v>1.2</v>
      </c>
      <c r="H41" s="15">
        <f t="shared" si="0"/>
        <v>43.5</v>
      </c>
      <c r="I41" s="4" t="s">
        <v>20</v>
      </c>
      <c r="J41" s="15"/>
    </row>
    <row r="42" spans="1:10" x14ac:dyDescent="0.25">
      <c r="A42" t="s">
        <v>23</v>
      </c>
      <c r="B42" t="s">
        <v>39</v>
      </c>
      <c r="C42" s="70" t="s">
        <v>22</v>
      </c>
      <c r="D42" s="70"/>
      <c r="E42" s="3">
        <f t="shared" si="1"/>
        <v>27</v>
      </c>
      <c r="F42" s="15">
        <v>44.8</v>
      </c>
      <c r="G42" s="15">
        <v>1</v>
      </c>
      <c r="H42" s="15">
        <f t="shared" si="0"/>
        <v>43.8</v>
      </c>
      <c r="I42" s="4" t="s">
        <v>20</v>
      </c>
      <c r="J42" s="15"/>
    </row>
    <row r="43" spans="1:10" x14ac:dyDescent="0.25">
      <c r="A43" t="s">
        <v>23</v>
      </c>
      <c r="B43" t="s">
        <v>39</v>
      </c>
      <c r="C43" s="70" t="s">
        <v>22</v>
      </c>
      <c r="D43" s="70"/>
      <c r="E43" s="3">
        <f t="shared" si="1"/>
        <v>28</v>
      </c>
      <c r="F43" s="15">
        <v>41.6</v>
      </c>
      <c r="G43" s="15">
        <v>1.9</v>
      </c>
      <c r="H43" s="15">
        <f t="shared" si="0"/>
        <v>39.700000000000003</v>
      </c>
      <c r="I43" s="4" t="s">
        <v>20</v>
      </c>
      <c r="J43" s="15"/>
    </row>
    <row r="44" spans="1:10" x14ac:dyDescent="0.25">
      <c r="A44" t="s">
        <v>23</v>
      </c>
      <c r="B44" t="s">
        <v>39</v>
      </c>
      <c r="C44" s="70" t="s">
        <v>22</v>
      </c>
      <c r="D44" s="70"/>
      <c r="E44" s="3">
        <f t="shared" si="1"/>
        <v>29</v>
      </c>
      <c r="F44" s="15">
        <v>53.9</v>
      </c>
      <c r="G44" s="15">
        <v>1.3</v>
      </c>
      <c r="H44" s="15">
        <f t="shared" si="0"/>
        <v>52.6</v>
      </c>
      <c r="I44" s="4" t="s">
        <v>20</v>
      </c>
      <c r="J44" s="15"/>
    </row>
    <row r="45" spans="1:10" x14ac:dyDescent="0.25">
      <c r="A45" t="s">
        <v>23</v>
      </c>
      <c r="B45" t="s">
        <v>39</v>
      </c>
      <c r="C45" s="70" t="s">
        <v>22</v>
      </c>
      <c r="D45" s="70"/>
      <c r="E45" s="3">
        <f t="shared" si="1"/>
        <v>30</v>
      </c>
      <c r="F45" s="15">
        <v>43.9</v>
      </c>
      <c r="G45" s="15">
        <v>1.3</v>
      </c>
      <c r="H45" s="15">
        <f t="shared" si="0"/>
        <v>42.6</v>
      </c>
      <c r="I45" s="4" t="s">
        <v>20</v>
      </c>
      <c r="J45" s="15"/>
    </row>
    <row r="46" spans="1:10" x14ac:dyDescent="0.25">
      <c r="A46" t="s">
        <v>23</v>
      </c>
      <c r="B46" t="s">
        <v>39</v>
      </c>
      <c r="C46" s="70" t="s">
        <v>22</v>
      </c>
      <c r="D46" s="70"/>
      <c r="E46" s="3">
        <f t="shared" si="1"/>
        <v>31</v>
      </c>
      <c r="F46" s="15">
        <v>41.2</v>
      </c>
      <c r="G46" s="15">
        <v>1.3</v>
      </c>
      <c r="H46" s="15">
        <f t="shared" si="0"/>
        <v>39.900000000000006</v>
      </c>
      <c r="I46" s="4" t="s">
        <v>20</v>
      </c>
      <c r="J46" s="15"/>
    </row>
    <row r="47" spans="1:10" x14ac:dyDescent="0.25">
      <c r="A47" t="s">
        <v>23</v>
      </c>
      <c r="B47" t="s">
        <v>39</v>
      </c>
      <c r="C47" s="70" t="s">
        <v>22</v>
      </c>
      <c r="D47" s="70"/>
      <c r="E47" s="3">
        <f t="shared" si="1"/>
        <v>32</v>
      </c>
      <c r="F47" s="15">
        <v>46.4</v>
      </c>
      <c r="G47" s="15">
        <v>1.3</v>
      </c>
      <c r="H47" s="15">
        <f t="shared" si="0"/>
        <v>45.1</v>
      </c>
      <c r="I47" s="4" t="s">
        <v>20</v>
      </c>
      <c r="J47" s="15"/>
    </row>
    <row r="48" spans="1:10" x14ac:dyDescent="0.25">
      <c r="A48" t="s">
        <v>23</v>
      </c>
      <c r="B48" t="s">
        <v>39</v>
      </c>
      <c r="C48" s="70" t="s">
        <v>22</v>
      </c>
      <c r="D48" s="70"/>
      <c r="E48" s="3">
        <f t="shared" si="1"/>
        <v>33</v>
      </c>
      <c r="F48" s="15">
        <v>47.2</v>
      </c>
      <c r="G48" s="15">
        <v>1.1000000000000001</v>
      </c>
      <c r="H48" s="15">
        <f t="shared" si="0"/>
        <v>46.1</v>
      </c>
      <c r="I48" s="4" t="s">
        <v>20</v>
      </c>
      <c r="J48" s="15"/>
    </row>
    <row r="49" spans="1:10" x14ac:dyDescent="0.25">
      <c r="A49" t="s">
        <v>23</v>
      </c>
      <c r="B49" t="s">
        <v>39</v>
      </c>
      <c r="C49" s="70" t="s">
        <v>22</v>
      </c>
      <c r="D49" s="70"/>
      <c r="E49" s="3">
        <f t="shared" si="1"/>
        <v>34</v>
      </c>
      <c r="F49" s="15">
        <v>45.1</v>
      </c>
      <c r="G49" s="15">
        <v>1.6</v>
      </c>
      <c r="H49" s="15">
        <f t="shared" si="0"/>
        <v>43.5</v>
      </c>
      <c r="I49" s="4" t="s">
        <v>20</v>
      </c>
      <c r="J49" s="15"/>
    </row>
    <row r="50" spans="1:10" x14ac:dyDescent="0.25">
      <c r="A50" t="s">
        <v>23</v>
      </c>
      <c r="B50" t="s">
        <v>39</v>
      </c>
      <c r="C50" s="70" t="s">
        <v>22</v>
      </c>
      <c r="D50" s="70"/>
      <c r="E50" s="3">
        <f t="shared" si="1"/>
        <v>35</v>
      </c>
      <c r="F50" s="15">
        <v>49.7</v>
      </c>
      <c r="G50" s="15">
        <v>1.5</v>
      </c>
      <c r="H50" s="15">
        <f t="shared" si="0"/>
        <v>48.2</v>
      </c>
      <c r="I50" s="4" t="s">
        <v>20</v>
      </c>
      <c r="J50" s="15"/>
    </row>
    <row r="51" spans="1:10" x14ac:dyDescent="0.25">
      <c r="A51" t="s">
        <v>23</v>
      </c>
      <c r="B51" t="s">
        <v>39</v>
      </c>
      <c r="C51" s="70" t="s">
        <v>22</v>
      </c>
      <c r="D51" s="70"/>
      <c r="E51" s="3">
        <f t="shared" si="1"/>
        <v>36</v>
      </c>
      <c r="F51" s="15">
        <v>44.3</v>
      </c>
      <c r="G51" s="15">
        <v>1</v>
      </c>
      <c r="H51" s="15">
        <f t="shared" si="0"/>
        <v>43.3</v>
      </c>
      <c r="I51" s="4" t="s">
        <v>20</v>
      </c>
    </row>
    <row r="52" spans="1:10" x14ac:dyDescent="0.25">
      <c r="A52" t="s">
        <v>23</v>
      </c>
      <c r="B52" t="s">
        <v>39</v>
      </c>
      <c r="C52" s="70" t="s">
        <v>22</v>
      </c>
      <c r="D52" s="70"/>
      <c r="E52" s="3">
        <f t="shared" si="1"/>
        <v>37</v>
      </c>
      <c r="F52" s="15">
        <v>48.4</v>
      </c>
      <c r="G52" s="15">
        <v>1.4</v>
      </c>
      <c r="H52" s="15">
        <f t="shared" si="0"/>
        <v>47</v>
      </c>
      <c r="I52" s="4" t="s">
        <v>20</v>
      </c>
    </row>
    <row r="53" spans="1:10" x14ac:dyDescent="0.25">
      <c r="A53" t="s">
        <v>23</v>
      </c>
      <c r="B53" t="s">
        <v>39</v>
      </c>
      <c r="C53" s="70" t="s">
        <v>22</v>
      </c>
      <c r="D53" s="70"/>
      <c r="E53" s="3">
        <f t="shared" si="1"/>
        <v>38</v>
      </c>
      <c r="F53" s="15">
        <v>40.1</v>
      </c>
      <c r="G53" s="15">
        <v>1.4</v>
      </c>
      <c r="H53" s="15">
        <f t="shared" si="0"/>
        <v>38.700000000000003</v>
      </c>
      <c r="I53" s="4" t="s">
        <v>20</v>
      </c>
    </row>
    <row r="54" spans="1:10" x14ac:dyDescent="0.25">
      <c r="A54" t="s">
        <v>23</v>
      </c>
      <c r="B54" t="s">
        <v>39</v>
      </c>
      <c r="C54" s="70" t="s">
        <v>22</v>
      </c>
      <c r="D54" s="70"/>
      <c r="E54" s="3">
        <f t="shared" si="1"/>
        <v>39</v>
      </c>
      <c r="F54" s="15">
        <v>43.7</v>
      </c>
      <c r="G54" s="15">
        <v>1.4</v>
      </c>
      <c r="H54" s="15">
        <f t="shared" si="0"/>
        <v>42.300000000000004</v>
      </c>
      <c r="I54" s="4" t="s">
        <v>20</v>
      </c>
    </row>
    <row r="55" spans="1:10" x14ac:dyDescent="0.25">
      <c r="A55" t="s">
        <v>23</v>
      </c>
      <c r="B55" t="s">
        <v>39</v>
      </c>
      <c r="C55" s="70" t="s">
        <v>22</v>
      </c>
      <c r="D55" s="70"/>
      <c r="E55" s="3">
        <f t="shared" si="1"/>
        <v>40</v>
      </c>
      <c r="F55" s="15">
        <v>41.6</v>
      </c>
      <c r="G55" s="15">
        <v>0.9</v>
      </c>
      <c r="H55" s="15">
        <f t="shared" si="0"/>
        <v>40.700000000000003</v>
      </c>
      <c r="I55" s="4" t="s">
        <v>20</v>
      </c>
    </row>
    <row r="56" spans="1:10" x14ac:dyDescent="0.25">
      <c r="A56" t="s">
        <v>23</v>
      </c>
      <c r="B56" t="s">
        <v>39</v>
      </c>
      <c r="C56" s="70" t="s">
        <v>22</v>
      </c>
      <c r="D56" s="70"/>
      <c r="E56" s="3">
        <f t="shared" si="1"/>
        <v>41</v>
      </c>
      <c r="F56" s="15">
        <v>45.2</v>
      </c>
      <c r="G56" s="15">
        <v>1</v>
      </c>
      <c r="H56" s="15">
        <f t="shared" si="0"/>
        <v>44.2</v>
      </c>
      <c r="I56" s="4" t="s">
        <v>20</v>
      </c>
    </row>
    <row r="57" spans="1:10" x14ac:dyDescent="0.25">
      <c r="A57" t="s">
        <v>23</v>
      </c>
      <c r="B57" t="s">
        <v>39</v>
      </c>
      <c r="C57" s="70" t="s">
        <v>22</v>
      </c>
      <c r="D57" s="70"/>
      <c r="E57" s="3">
        <f t="shared" si="1"/>
        <v>42</v>
      </c>
      <c r="F57" s="15">
        <v>43</v>
      </c>
      <c r="G57" s="15">
        <v>1</v>
      </c>
      <c r="H57" s="15">
        <f t="shared" si="0"/>
        <v>42</v>
      </c>
      <c r="I57" s="4" t="s">
        <v>20</v>
      </c>
    </row>
    <row r="58" spans="1:10" x14ac:dyDescent="0.25">
      <c r="A58" t="s">
        <v>23</v>
      </c>
      <c r="B58" t="s">
        <v>39</v>
      </c>
      <c r="C58" s="70" t="s">
        <v>22</v>
      </c>
      <c r="D58" s="70"/>
      <c r="E58" s="3">
        <f t="shared" si="1"/>
        <v>43</v>
      </c>
      <c r="F58" s="15">
        <v>42.3</v>
      </c>
      <c r="G58" s="15">
        <v>1.3</v>
      </c>
      <c r="H58" s="15">
        <f t="shared" si="0"/>
        <v>41</v>
      </c>
      <c r="I58" s="4" t="s">
        <v>20</v>
      </c>
    </row>
    <row r="59" spans="1:10" x14ac:dyDescent="0.25">
      <c r="A59" t="s">
        <v>23</v>
      </c>
      <c r="B59" t="s">
        <v>39</v>
      </c>
      <c r="C59" s="70" t="s">
        <v>22</v>
      </c>
      <c r="D59" s="70"/>
      <c r="E59" s="3">
        <f t="shared" si="1"/>
        <v>44</v>
      </c>
      <c r="F59" s="15">
        <v>40.5</v>
      </c>
      <c r="G59" s="15">
        <v>1</v>
      </c>
      <c r="H59" s="15">
        <f t="shared" si="0"/>
        <v>39.5</v>
      </c>
      <c r="I59" s="4" t="s">
        <v>20</v>
      </c>
    </row>
    <row r="60" spans="1:10" x14ac:dyDescent="0.25">
      <c r="A60" t="s">
        <v>23</v>
      </c>
      <c r="B60" t="s">
        <v>39</v>
      </c>
      <c r="C60" s="70" t="s">
        <v>22</v>
      </c>
      <c r="D60" s="70"/>
      <c r="E60" s="3">
        <f t="shared" si="1"/>
        <v>45</v>
      </c>
      <c r="F60" s="15">
        <v>44.2</v>
      </c>
      <c r="G60" s="15">
        <v>1</v>
      </c>
      <c r="H60" s="15">
        <f t="shared" si="0"/>
        <v>43.2</v>
      </c>
      <c r="I60" s="4" t="s">
        <v>20</v>
      </c>
    </row>
    <row r="61" spans="1:10" x14ac:dyDescent="0.25">
      <c r="A61" t="s">
        <v>23</v>
      </c>
      <c r="B61" t="s">
        <v>39</v>
      </c>
      <c r="C61" s="70" t="s">
        <v>22</v>
      </c>
      <c r="D61" s="70"/>
      <c r="E61" s="3">
        <f t="shared" si="1"/>
        <v>46</v>
      </c>
      <c r="F61" s="15">
        <v>50.7</v>
      </c>
      <c r="G61" s="15">
        <v>1.4</v>
      </c>
      <c r="H61" s="15">
        <f t="shared" si="0"/>
        <v>49.300000000000004</v>
      </c>
      <c r="I61" s="4" t="s">
        <v>20</v>
      </c>
    </row>
    <row r="62" spans="1:10" x14ac:dyDescent="0.25">
      <c r="A62" t="s">
        <v>23</v>
      </c>
      <c r="B62" t="s">
        <v>39</v>
      </c>
      <c r="C62" s="70" t="s">
        <v>22</v>
      </c>
      <c r="D62" s="70"/>
      <c r="E62" s="3">
        <f t="shared" si="1"/>
        <v>47</v>
      </c>
      <c r="F62" s="15">
        <v>39</v>
      </c>
      <c r="G62" s="15">
        <v>1.5</v>
      </c>
      <c r="H62" s="15">
        <f t="shared" si="0"/>
        <v>37.5</v>
      </c>
      <c r="I62" s="4" t="s">
        <v>20</v>
      </c>
    </row>
    <row r="63" spans="1:10" x14ac:dyDescent="0.25">
      <c r="A63" t="s">
        <v>23</v>
      </c>
      <c r="B63" t="s">
        <v>39</v>
      </c>
      <c r="C63" s="70" t="s">
        <v>22</v>
      </c>
      <c r="D63" s="70"/>
      <c r="E63" s="3">
        <f t="shared" si="1"/>
        <v>48</v>
      </c>
      <c r="F63" s="15">
        <v>41.5</v>
      </c>
      <c r="G63" s="15">
        <v>1</v>
      </c>
      <c r="H63" s="15">
        <f t="shared" si="0"/>
        <v>40.5</v>
      </c>
      <c r="I63" s="4" t="s">
        <v>20</v>
      </c>
    </row>
    <row r="64" spans="1:10" x14ac:dyDescent="0.25">
      <c r="A64" t="s">
        <v>23</v>
      </c>
      <c r="B64" t="s">
        <v>39</v>
      </c>
      <c r="C64" s="70" t="s">
        <v>22</v>
      </c>
      <c r="D64" s="70"/>
      <c r="E64" s="3">
        <f t="shared" si="1"/>
        <v>49</v>
      </c>
      <c r="F64" s="15">
        <v>44.3</v>
      </c>
      <c r="G64" s="15">
        <v>1.2</v>
      </c>
      <c r="H64" s="15">
        <f t="shared" si="0"/>
        <v>43.099999999999994</v>
      </c>
      <c r="I64" s="4" t="s">
        <v>20</v>
      </c>
    </row>
    <row r="65" spans="1:9" x14ac:dyDescent="0.25">
      <c r="A65" t="s">
        <v>23</v>
      </c>
      <c r="B65" t="s">
        <v>39</v>
      </c>
      <c r="C65" s="70" t="s">
        <v>22</v>
      </c>
      <c r="D65" s="70"/>
      <c r="E65" s="3">
        <f t="shared" si="1"/>
        <v>50</v>
      </c>
      <c r="F65" s="15">
        <v>45.9</v>
      </c>
      <c r="G65" s="15">
        <v>1</v>
      </c>
      <c r="H65" s="15">
        <f t="shared" si="0"/>
        <v>44.9</v>
      </c>
      <c r="I65" s="4" t="s">
        <v>20</v>
      </c>
    </row>
    <row r="66" spans="1:9" x14ac:dyDescent="0.25">
      <c r="A66" t="s">
        <v>23</v>
      </c>
      <c r="B66" t="s">
        <v>39</v>
      </c>
      <c r="C66" s="70" t="s">
        <v>22</v>
      </c>
      <c r="D66" s="70"/>
      <c r="E66" s="3">
        <f t="shared" si="1"/>
        <v>51</v>
      </c>
      <c r="F66" s="15">
        <v>47.7</v>
      </c>
      <c r="G66" s="15">
        <v>1.1000000000000001</v>
      </c>
      <c r="H66" s="15">
        <f t="shared" si="0"/>
        <v>46.6</v>
      </c>
      <c r="I66" s="4" t="s">
        <v>20</v>
      </c>
    </row>
    <row r="67" spans="1:9" x14ac:dyDescent="0.25">
      <c r="A67" t="s">
        <v>23</v>
      </c>
      <c r="B67" t="s">
        <v>39</v>
      </c>
      <c r="C67" s="70" t="s">
        <v>22</v>
      </c>
      <c r="D67" s="70"/>
      <c r="E67" s="3">
        <f t="shared" si="1"/>
        <v>52</v>
      </c>
      <c r="F67" s="15">
        <v>43.6</v>
      </c>
      <c r="G67" s="15">
        <v>1.3</v>
      </c>
      <c r="H67" s="15">
        <f t="shared" si="0"/>
        <v>42.300000000000004</v>
      </c>
      <c r="I67" s="4" t="s">
        <v>20</v>
      </c>
    </row>
    <row r="68" spans="1:9" x14ac:dyDescent="0.25">
      <c r="A68" t="s">
        <v>23</v>
      </c>
      <c r="B68" t="s">
        <v>39</v>
      </c>
      <c r="C68" s="70" t="s">
        <v>22</v>
      </c>
      <c r="D68" s="70"/>
      <c r="E68" s="3">
        <f t="shared" si="1"/>
        <v>53</v>
      </c>
      <c r="F68" s="15">
        <v>43.5</v>
      </c>
      <c r="G68" s="15">
        <v>1.1000000000000001</v>
      </c>
      <c r="H68" s="15">
        <f t="shared" si="0"/>
        <v>42.4</v>
      </c>
      <c r="I68" s="4" t="s">
        <v>20</v>
      </c>
    </row>
    <row r="69" spans="1:9" x14ac:dyDescent="0.25">
      <c r="A69" t="s">
        <v>23</v>
      </c>
      <c r="B69" t="s">
        <v>39</v>
      </c>
      <c r="C69" s="70" t="s">
        <v>22</v>
      </c>
      <c r="D69" s="70"/>
      <c r="E69" s="3">
        <f t="shared" si="1"/>
        <v>54</v>
      </c>
      <c r="F69" s="15">
        <v>40.799999999999997</v>
      </c>
      <c r="G69" s="15">
        <v>1.1000000000000001</v>
      </c>
      <c r="H69" s="15">
        <f t="shared" si="0"/>
        <v>39.699999999999996</v>
      </c>
      <c r="I69" s="4" t="s">
        <v>20</v>
      </c>
    </row>
    <row r="70" spans="1:9" x14ac:dyDescent="0.25">
      <c r="A70" t="s">
        <v>23</v>
      </c>
      <c r="B70" t="s">
        <v>39</v>
      </c>
      <c r="C70" s="70" t="s">
        <v>22</v>
      </c>
      <c r="D70" s="70"/>
      <c r="E70" s="3">
        <f t="shared" si="1"/>
        <v>55</v>
      </c>
      <c r="F70" s="15">
        <v>40.1</v>
      </c>
      <c r="G70" s="15">
        <v>1</v>
      </c>
      <c r="H70" s="15">
        <f t="shared" si="0"/>
        <v>39.1</v>
      </c>
      <c r="I70" s="4" t="s">
        <v>20</v>
      </c>
    </row>
    <row r="71" spans="1:9" x14ac:dyDescent="0.25">
      <c r="A71" t="s">
        <v>23</v>
      </c>
      <c r="B71" t="s">
        <v>39</v>
      </c>
      <c r="C71" s="70" t="s">
        <v>22</v>
      </c>
      <c r="D71" s="70"/>
      <c r="E71" s="3">
        <f t="shared" si="1"/>
        <v>56</v>
      </c>
      <c r="F71" s="15">
        <v>45.9</v>
      </c>
      <c r="G71" s="15">
        <v>1.5</v>
      </c>
      <c r="H71" s="15">
        <f t="shared" si="0"/>
        <v>44.4</v>
      </c>
      <c r="I71" s="4" t="s">
        <v>20</v>
      </c>
    </row>
    <row r="72" spans="1:9" x14ac:dyDescent="0.25">
      <c r="A72" t="s">
        <v>23</v>
      </c>
      <c r="B72" t="s">
        <v>39</v>
      </c>
      <c r="C72" s="70" t="s">
        <v>22</v>
      </c>
      <c r="D72" s="70"/>
      <c r="E72" s="3">
        <f t="shared" si="1"/>
        <v>57</v>
      </c>
      <c r="F72" s="15">
        <v>44.3</v>
      </c>
      <c r="G72" s="15">
        <v>1.6</v>
      </c>
      <c r="H72" s="15">
        <f t="shared" si="0"/>
        <v>42.699999999999996</v>
      </c>
      <c r="I72" s="4" t="s">
        <v>20</v>
      </c>
    </row>
    <row r="73" spans="1:9" x14ac:dyDescent="0.25">
      <c r="A73" t="s">
        <v>23</v>
      </c>
      <c r="B73" t="s">
        <v>39</v>
      </c>
      <c r="C73" s="70" t="s">
        <v>22</v>
      </c>
      <c r="D73" s="70"/>
      <c r="E73" s="3">
        <f t="shared" si="1"/>
        <v>58</v>
      </c>
      <c r="F73" s="15">
        <v>40.4</v>
      </c>
      <c r="G73" s="15">
        <v>1.1000000000000001</v>
      </c>
      <c r="H73" s="15">
        <f t="shared" si="0"/>
        <v>39.299999999999997</v>
      </c>
      <c r="I73" s="4" t="s">
        <v>20</v>
      </c>
    </row>
    <row r="74" spans="1:9" x14ac:dyDescent="0.25">
      <c r="A74" t="s">
        <v>23</v>
      </c>
      <c r="B74" t="s">
        <v>39</v>
      </c>
      <c r="C74" s="70" t="s">
        <v>22</v>
      </c>
      <c r="D74" s="70"/>
      <c r="E74" s="3">
        <f t="shared" si="1"/>
        <v>59</v>
      </c>
      <c r="F74" s="15">
        <v>41.6</v>
      </c>
      <c r="G74" s="15">
        <v>1</v>
      </c>
      <c r="H74" s="15">
        <f t="shared" si="0"/>
        <v>40.6</v>
      </c>
      <c r="I74" s="4" t="s">
        <v>20</v>
      </c>
    </row>
    <row r="75" spans="1:9" x14ac:dyDescent="0.25">
      <c r="A75" t="s">
        <v>23</v>
      </c>
      <c r="B75" t="s">
        <v>39</v>
      </c>
      <c r="C75" s="70" t="s">
        <v>22</v>
      </c>
      <c r="D75" s="70"/>
      <c r="E75" s="3">
        <f t="shared" si="1"/>
        <v>60</v>
      </c>
      <c r="F75" s="15">
        <v>48.4</v>
      </c>
      <c r="G75" s="15">
        <v>1.4</v>
      </c>
      <c r="H75" s="15">
        <f t="shared" si="0"/>
        <v>47</v>
      </c>
      <c r="I75" s="4" t="s">
        <v>20</v>
      </c>
    </row>
    <row r="76" spans="1:9" x14ac:dyDescent="0.25">
      <c r="A76" t="s">
        <v>23</v>
      </c>
      <c r="B76" t="s">
        <v>39</v>
      </c>
      <c r="C76" s="70" t="s">
        <v>22</v>
      </c>
      <c r="D76" s="70"/>
      <c r="E76" s="3">
        <f t="shared" si="1"/>
        <v>61</v>
      </c>
      <c r="F76" s="15">
        <v>48.1</v>
      </c>
      <c r="G76" s="15">
        <v>1.1000000000000001</v>
      </c>
      <c r="H76" s="15">
        <f t="shared" si="0"/>
        <v>47</v>
      </c>
      <c r="I76" s="4" t="s">
        <v>20</v>
      </c>
    </row>
    <row r="77" spans="1:9" x14ac:dyDescent="0.25">
      <c r="A77" t="s">
        <v>23</v>
      </c>
      <c r="B77" t="s">
        <v>39</v>
      </c>
      <c r="C77" s="70" t="s">
        <v>22</v>
      </c>
      <c r="D77" s="70"/>
      <c r="E77" s="3">
        <f t="shared" si="1"/>
        <v>62</v>
      </c>
      <c r="F77" s="15">
        <v>46.5</v>
      </c>
      <c r="G77" s="15">
        <v>1.4</v>
      </c>
      <c r="H77" s="15">
        <f t="shared" si="0"/>
        <v>45.1</v>
      </c>
      <c r="I77" s="4" t="s">
        <v>20</v>
      </c>
    </row>
    <row r="78" spans="1:9" x14ac:dyDescent="0.25">
      <c r="A78" t="s">
        <v>23</v>
      </c>
      <c r="B78" t="s">
        <v>39</v>
      </c>
      <c r="C78" s="70" t="s">
        <v>22</v>
      </c>
      <c r="D78" s="70"/>
      <c r="E78" s="3">
        <f t="shared" si="1"/>
        <v>63</v>
      </c>
      <c r="F78" s="15">
        <v>45</v>
      </c>
      <c r="G78" s="15">
        <v>1.2</v>
      </c>
      <c r="H78" s="15">
        <f t="shared" si="0"/>
        <v>43.8</v>
      </c>
      <c r="I78" s="4" t="s">
        <v>20</v>
      </c>
    </row>
    <row r="79" spans="1:9" x14ac:dyDescent="0.25">
      <c r="A79" t="s">
        <v>23</v>
      </c>
      <c r="B79" t="s">
        <v>39</v>
      </c>
      <c r="C79" s="70" t="s">
        <v>22</v>
      </c>
      <c r="D79" s="70"/>
      <c r="E79" s="3">
        <f t="shared" si="1"/>
        <v>64</v>
      </c>
      <c r="F79" s="15">
        <v>42.7</v>
      </c>
      <c r="G79" s="15">
        <v>1.7</v>
      </c>
      <c r="H79" s="15">
        <f t="shared" si="0"/>
        <v>41</v>
      </c>
      <c r="I79" s="4" t="s">
        <v>20</v>
      </c>
    </row>
    <row r="80" spans="1:9" x14ac:dyDescent="0.25">
      <c r="A80" t="s">
        <v>23</v>
      </c>
      <c r="B80" t="s">
        <v>39</v>
      </c>
      <c r="C80" s="70" t="s">
        <v>22</v>
      </c>
      <c r="D80" s="70"/>
      <c r="E80" s="3">
        <f t="shared" si="1"/>
        <v>65</v>
      </c>
      <c r="F80" s="15">
        <v>46.6</v>
      </c>
      <c r="G80" s="15">
        <v>1.1000000000000001</v>
      </c>
      <c r="H80" s="15">
        <f t="shared" si="0"/>
        <v>45.5</v>
      </c>
      <c r="I80" s="4" t="s">
        <v>20</v>
      </c>
    </row>
    <row r="81" spans="1:9" x14ac:dyDescent="0.25">
      <c r="A81" t="s">
        <v>23</v>
      </c>
      <c r="B81" t="s">
        <v>39</v>
      </c>
      <c r="C81" s="70" t="s">
        <v>22</v>
      </c>
      <c r="D81" s="70"/>
      <c r="E81" s="3">
        <f t="shared" si="1"/>
        <v>66</v>
      </c>
      <c r="F81" s="15">
        <v>41.5</v>
      </c>
      <c r="G81" s="15">
        <v>1.1000000000000001</v>
      </c>
      <c r="H81" s="15">
        <f t="shared" ref="H81:H98" si="2">F81-G81</f>
        <v>40.4</v>
      </c>
      <c r="I81" s="4" t="s">
        <v>20</v>
      </c>
    </row>
    <row r="82" spans="1:9" x14ac:dyDescent="0.25">
      <c r="A82" t="s">
        <v>23</v>
      </c>
      <c r="B82" t="s">
        <v>39</v>
      </c>
      <c r="C82" s="70" t="s">
        <v>22</v>
      </c>
      <c r="D82" s="70"/>
      <c r="E82" s="3">
        <f t="shared" ref="E82:E98" si="3">E81+1</f>
        <v>67</v>
      </c>
      <c r="F82" s="15">
        <v>47</v>
      </c>
      <c r="G82" s="15">
        <v>1.1000000000000001</v>
      </c>
      <c r="H82" s="15">
        <f t="shared" si="2"/>
        <v>45.9</v>
      </c>
      <c r="I82" s="4" t="s">
        <v>20</v>
      </c>
    </row>
    <row r="83" spans="1:9" x14ac:dyDescent="0.25">
      <c r="A83" t="s">
        <v>23</v>
      </c>
      <c r="B83" t="s">
        <v>39</v>
      </c>
      <c r="C83" s="70" t="s">
        <v>22</v>
      </c>
      <c r="D83" s="70"/>
      <c r="E83" s="3">
        <f t="shared" si="3"/>
        <v>68</v>
      </c>
      <c r="F83" s="15">
        <v>44</v>
      </c>
      <c r="G83" s="15">
        <v>1.2</v>
      </c>
      <c r="H83" s="15">
        <f t="shared" si="2"/>
        <v>42.8</v>
      </c>
      <c r="I83" s="4" t="s">
        <v>20</v>
      </c>
    </row>
    <row r="84" spans="1:9" x14ac:dyDescent="0.25">
      <c r="A84" t="s">
        <v>23</v>
      </c>
      <c r="B84" t="s">
        <v>39</v>
      </c>
      <c r="C84" s="70" t="s">
        <v>22</v>
      </c>
      <c r="D84" s="70"/>
      <c r="E84" s="3">
        <f t="shared" si="3"/>
        <v>69</v>
      </c>
      <c r="F84" s="15">
        <v>49.3</v>
      </c>
      <c r="G84" s="15">
        <v>1.1000000000000001</v>
      </c>
      <c r="H84" s="15">
        <f t="shared" si="2"/>
        <v>48.199999999999996</v>
      </c>
      <c r="I84" s="4" t="s">
        <v>20</v>
      </c>
    </row>
    <row r="85" spans="1:9" x14ac:dyDescent="0.25">
      <c r="A85" t="s">
        <v>23</v>
      </c>
      <c r="B85" t="s">
        <v>39</v>
      </c>
      <c r="C85" s="70" t="s">
        <v>22</v>
      </c>
      <c r="D85" s="70"/>
      <c r="E85" s="3">
        <f t="shared" si="3"/>
        <v>70</v>
      </c>
      <c r="F85" s="15">
        <v>47.6</v>
      </c>
      <c r="G85" s="15">
        <v>1</v>
      </c>
      <c r="H85" s="15">
        <f t="shared" si="2"/>
        <v>46.6</v>
      </c>
      <c r="I85" s="4" t="s">
        <v>20</v>
      </c>
    </row>
    <row r="86" spans="1:9" x14ac:dyDescent="0.25">
      <c r="A86" t="s">
        <v>23</v>
      </c>
      <c r="B86" t="s">
        <v>39</v>
      </c>
      <c r="C86" s="70" t="s">
        <v>22</v>
      </c>
      <c r="D86" s="70"/>
      <c r="E86" s="3">
        <f t="shared" si="3"/>
        <v>71</v>
      </c>
      <c r="F86" s="15">
        <v>45.7</v>
      </c>
      <c r="G86" s="15">
        <v>1.1000000000000001</v>
      </c>
      <c r="H86" s="15">
        <f t="shared" si="2"/>
        <v>44.6</v>
      </c>
      <c r="I86" s="4" t="s">
        <v>20</v>
      </c>
    </row>
    <row r="87" spans="1:9" x14ac:dyDescent="0.25">
      <c r="A87" t="s">
        <v>23</v>
      </c>
      <c r="B87" t="s">
        <v>39</v>
      </c>
      <c r="C87" s="70" t="s">
        <v>22</v>
      </c>
      <c r="D87" s="70"/>
      <c r="E87" s="3">
        <f t="shared" si="3"/>
        <v>72</v>
      </c>
      <c r="F87" s="15">
        <v>45.1</v>
      </c>
      <c r="G87" s="15">
        <v>1.4</v>
      </c>
      <c r="H87" s="15">
        <f t="shared" si="2"/>
        <v>43.7</v>
      </c>
      <c r="I87" s="4" t="s">
        <v>20</v>
      </c>
    </row>
    <row r="88" spans="1:9" x14ac:dyDescent="0.25">
      <c r="A88" t="s">
        <v>23</v>
      </c>
      <c r="B88" t="s">
        <v>39</v>
      </c>
      <c r="C88" s="70" t="s">
        <v>22</v>
      </c>
      <c r="D88" s="70"/>
      <c r="E88" s="3">
        <f t="shared" si="3"/>
        <v>73</v>
      </c>
      <c r="F88" s="15">
        <v>47.2</v>
      </c>
      <c r="G88" s="15">
        <v>1.7</v>
      </c>
      <c r="H88" s="15">
        <f t="shared" si="2"/>
        <v>45.5</v>
      </c>
      <c r="I88" s="4" t="s">
        <v>20</v>
      </c>
    </row>
    <row r="89" spans="1:9" x14ac:dyDescent="0.25">
      <c r="A89" t="s">
        <v>23</v>
      </c>
      <c r="B89" t="s">
        <v>39</v>
      </c>
      <c r="C89" s="70" t="s">
        <v>22</v>
      </c>
      <c r="D89" s="70"/>
      <c r="E89" s="3">
        <f t="shared" si="3"/>
        <v>74</v>
      </c>
      <c r="F89" s="15">
        <v>48.9</v>
      </c>
      <c r="G89" s="15">
        <v>1.4</v>
      </c>
      <c r="H89" s="15">
        <f t="shared" si="2"/>
        <v>47.5</v>
      </c>
      <c r="I89" s="4" t="s">
        <v>20</v>
      </c>
    </row>
    <row r="90" spans="1:9" x14ac:dyDescent="0.25">
      <c r="A90" t="s">
        <v>23</v>
      </c>
      <c r="B90" t="s">
        <v>39</v>
      </c>
      <c r="C90" s="70" t="s">
        <v>22</v>
      </c>
      <c r="D90" s="70"/>
      <c r="E90" s="3">
        <f t="shared" si="3"/>
        <v>75</v>
      </c>
      <c r="F90" s="15">
        <v>37.4</v>
      </c>
      <c r="G90" s="15">
        <v>1</v>
      </c>
      <c r="H90" s="15">
        <f t="shared" si="2"/>
        <v>36.4</v>
      </c>
      <c r="I90" s="4" t="s">
        <v>20</v>
      </c>
    </row>
    <row r="91" spans="1:9" x14ac:dyDescent="0.25">
      <c r="A91" t="s">
        <v>23</v>
      </c>
      <c r="B91" t="s">
        <v>39</v>
      </c>
      <c r="C91" s="70" t="s">
        <v>22</v>
      </c>
      <c r="D91" s="70"/>
      <c r="E91" s="3">
        <f t="shared" si="3"/>
        <v>76</v>
      </c>
      <c r="F91" s="15">
        <v>47.9</v>
      </c>
      <c r="G91" s="15">
        <v>1.3</v>
      </c>
      <c r="H91" s="15">
        <f t="shared" si="2"/>
        <v>46.6</v>
      </c>
      <c r="I91" s="4" t="s">
        <v>20</v>
      </c>
    </row>
    <row r="92" spans="1:9" x14ac:dyDescent="0.25">
      <c r="A92" t="s">
        <v>23</v>
      </c>
      <c r="B92" t="s">
        <v>39</v>
      </c>
      <c r="C92" s="70" t="s">
        <v>22</v>
      </c>
      <c r="D92" s="70"/>
      <c r="E92" s="3">
        <f t="shared" si="3"/>
        <v>77</v>
      </c>
      <c r="F92" s="15">
        <v>43.7</v>
      </c>
      <c r="G92" s="15">
        <v>1.2</v>
      </c>
      <c r="H92" s="15">
        <f t="shared" si="2"/>
        <v>42.5</v>
      </c>
      <c r="I92" s="4" t="s">
        <v>20</v>
      </c>
    </row>
    <row r="93" spans="1:9" x14ac:dyDescent="0.25">
      <c r="A93" t="s">
        <v>23</v>
      </c>
      <c r="B93" t="s">
        <v>39</v>
      </c>
      <c r="C93" s="70" t="s">
        <v>22</v>
      </c>
      <c r="D93" s="70"/>
      <c r="E93" s="3">
        <f t="shared" si="3"/>
        <v>78</v>
      </c>
      <c r="F93" s="15">
        <v>46.2</v>
      </c>
      <c r="G93" s="15">
        <v>1.4</v>
      </c>
      <c r="H93" s="15">
        <f t="shared" si="2"/>
        <v>44.800000000000004</v>
      </c>
      <c r="I93" s="4" t="s">
        <v>20</v>
      </c>
    </row>
    <row r="94" spans="1:9" x14ac:dyDescent="0.25">
      <c r="A94" t="s">
        <v>23</v>
      </c>
      <c r="B94" t="s">
        <v>39</v>
      </c>
      <c r="C94" s="70" t="s">
        <v>22</v>
      </c>
      <c r="D94" s="70"/>
      <c r="E94" s="3">
        <f t="shared" si="3"/>
        <v>79</v>
      </c>
      <c r="F94" s="15">
        <v>43.7</v>
      </c>
      <c r="G94" s="15">
        <v>1.5</v>
      </c>
      <c r="H94" s="15">
        <f t="shared" si="2"/>
        <v>42.2</v>
      </c>
      <c r="I94" s="4" t="s">
        <v>20</v>
      </c>
    </row>
    <row r="95" spans="1:9" x14ac:dyDescent="0.25">
      <c r="A95" t="s">
        <v>23</v>
      </c>
      <c r="B95" t="s">
        <v>39</v>
      </c>
      <c r="C95" s="70" t="s">
        <v>22</v>
      </c>
      <c r="D95" s="70"/>
      <c r="E95" s="3">
        <f t="shared" si="3"/>
        <v>80</v>
      </c>
      <c r="F95" s="15">
        <v>51.7</v>
      </c>
      <c r="G95" s="15">
        <v>1.2</v>
      </c>
      <c r="H95" s="15">
        <f t="shared" si="2"/>
        <v>50.5</v>
      </c>
      <c r="I95" s="4" t="s">
        <v>20</v>
      </c>
    </row>
    <row r="96" spans="1:9" x14ac:dyDescent="0.25">
      <c r="A96" t="s">
        <v>23</v>
      </c>
      <c r="B96" t="s">
        <v>39</v>
      </c>
      <c r="C96" s="70" t="s">
        <v>22</v>
      </c>
      <c r="D96" s="70"/>
      <c r="E96" s="3">
        <f t="shared" si="3"/>
        <v>81</v>
      </c>
      <c r="F96" s="15">
        <v>48.6</v>
      </c>
      <c r="G96" s="15">
        <v>1</v>
      </c>
      <c r="H96" s="15">
        <f t="shared" si="2"/>
        <v>47.6</v>
      </c>
      <c r="I96" s="4" t="s">
        <v>20</v>
      </c>
    </row>
    <row r="97" spans="1:9" x14ac:dyDescent="0.25">
      <c r="A97" t="s">
        <v>23</v>
      </c>
      <c r="B97" t="s">
        <v>39</v>
      </c>
      <c r="C97" s="70" t="s">
        <v>22</v>
      </c>
      <c r="D97" s="70"/>
      <c r="E97" s="3">
        <f t="shared" si="3"/>
        <v>82</v>
      </c>
      <c r="F97" s="15">
        <v>42.9</v>
      </c>
      <c r="G97" s="15">
        <v>1.6</v>
      </c>
      <c r="H97" s="15">
        <f t="shared" si="2"/>
        <v>41.3</v>
      </c>
      <c r="I97" s="4" t="s">
        <v>20</v>
      </c>
    </row>
    <row r="98" spans="1:9" ht="15.75" thickBot="1" x14ac:dyDescent="0.3">
      <c r="A98" t="s">
        <v>23</v>
      </c>
      <c r="B98" t="s">
        <v>39</v>
      </c>
      <c r="C98" s="70" t="s">
        <v>22</v>
      </c>
      <c r="D98" s="70"/>
      <c r="E98" s="3">
        <f t="shared" si="3"/>
        <v>83</v>
      </c>
      <c r="F98" s="15">
        <v>47.5</v>
      </c>
      <c r="G98" s="15">
        <v>1.7</v>
      </c>
      <c r="H98" s="15">
        <f t="shared" si="2"/>
        <v>45.8</v>
      </c>
      <c r="I98" s="4" t="s">
        <v>20</v>
      </c>
    </row>
    <row r="99" spans="1:9" ht="16.5" thickTop="1" thickBot="1" x14ac:dyDescent="0.3">
      <c r="A99" s="75" t="s">
        <v>27</v>
      </c>
      <c r="B99" s="75"/>
      <c r="C99" s="75"/>
      <c r="D99" s="75"/>
      <c r="E99" s="12">
        <f>E98</f>
        <v>83</v>
      </c>
      <c r="F99" s="14">
        <f>SUM(F16:F98)</f>
        <v>3731.099999999999</v>
      </c>
      <c r="G99" s="14">
        <f>SUM(G16:G98)</f>
        <v>105.29999999999995</v>
      </c>
      <c r="H99" s="14">
        <f>SUM(H16:H98)</f>
        <v>3625.7999999999997</v>
      </c>
      <c r="I99" s="13"/>
    </row>
    <row r="100" spans="1:9" ht="6.75" customHeight="1" thickTop="1" x14ac:dyDescent="0.25"/>
    <row r="101" spans="1:9" ht="15.75" thickBot="1" x14ac:dyDescent="0.3">
      <c r="A101" s="1" t="s">
        <v>29</v>
      </c>
    </row>
    <row r="102" spans="1:9" ht="30" customHeight="1" thickTop="1" thickBot="1" x14ac:dyDescent="0.3">
      <c r="A102" s="9" t="s">
        <v>7</v>
      </c>
      <c r="B102" s="9" t="s">
        <v>2</v>
      </c>
      <c r="C102" s="73" t="s">
        <v>6</v>
      </c>
      <c r="D102" s="73"/>
      <c r="E102" s="11" t="s">
        <v>30</v>
      </c>
      <c r="F102" s="11" t="s">
        <v>31</v>
      </c>
      <c r="G102" s="11" t="s">
        <v>32</v>
      </c>
      <c r="H102" s="11" t="s">
        <v>33</v>
      </c>
      <c r="I102" s="11" t="s">
        <v>37</v>
      </c>
    </row>
    <row r="103" spans="1:9" ht="16.5" thickTop="1" thickBot="1" x14ac:dyDescent="0.3">
      <c r="A103" t="s">
        <v>23</v>
      </c>
      <c r="B103" t="str">
        <f>B98</f>
        <v>PAITON</v>
      </c>
      <c r="C103" s="76" t="s">
        <v>22</v>
      </c>
      <c r="D103" s="76"/>
      <c r="E103" s="15">
        <v>2581.9</v>
      </c>
      <c r="F103" s="15">
        <v>984.9</v>
      </c>
      <c r="G103" s="15">
        <v>50.2</v>
      </c>
      <c r="H103" s="15">
        <f>IF(E103="","",(H99-E103-F103-G103))</f>
        <v>8.7999999999996561</v>
      </c>
      <c r="I103" s="15">
        <f>IF(E103="","",SUM(E103:H103))</f>
        <v>3625.7999999999997</v>
      </c>
    </row>
    <row r="104" spans="1:9" ht="16.5" thickTop="1" thickBot="1" x14ac:dyDescent="0.3">
      <c r="A104" s="77" t="s">
        <v>52</v>
      </c>
      <c r="B104" s="77"/>
      <c r="C104" s="77"/>
      <c r="D104" s="77"/>
      <c r="E104" s="20">
        <f>IF(E103="","",E103/$H99)</f>
        <v>0.71209112471730385</v>
      </c>
      <c r="F104" s="32">
        <f>IF(F103="","",F103/$H99)</f>
        <v>0.27163660433559494</v>
      </c>
      <c r="G104" s="54">
        <f t="shared" ref="G104:H104" si="4">IF(G103="","",G103/$H99)</f>
        <v>1.3845220365160794E-2</v>
      </c>
      <c r="H104" s="32">
        <f t="shared" si="4"/>
        <v>2.4270505819404425E-3</v>
      </c>
      <c r="I104" s="17">
        <f>IF(I103="","",SUM(E104:H104))</f>
        <v>1</v>
      </c>
    </row>
    <row r="105" spans="1:9" ht="15.75" thickTop="1" x14ac:dyDescent="0.25">
      <c r="A105" s="19" t="s">
        <v>16</v>
      </c>
    </row>
    <row r="106" spans="1:9" ht="10.5" customHeight="1" x14ac:dyDescent="0.25">
      <c r="A106" s="7" t="s">
        <v>36</v>
      </c>
    </row>
    <row r="107" spans="1:9" ht="10.5" customHeight="1" x14ac:dyDescent="0.25">
      <c r="A107" s="7" t="s">
        <v>35</v>
      </c>
    </row>
    <row r="108" spans="1:9" ht="10.5" customHeight="1" x14ac:dyDescent="0.25">
      <c r="A108" s="7" t="s">
        <v>34</v>
      </c>
    </row>
    <row r="109" spans="1:9" ht="10.5" customHeight="1" x14ac:dyDescent="0.25">
      <c r="A109" s="7" t="s">
        <v>50</v>
      </c>
    </row>
    <row r="110" spans="1:9" ht="6" customHeight="1" x14ac:dyDescent="0.25"/>
  </sheetData>
  <mergeCells count="90">
    <mergeCell ref="C18:D18"/>
    <mergeCell ref="A1:I1"/>
    <mergeCell ref="A13:I13"/>
    <mergeCell ref="C15:D15"/>
    <mergeCell ref="C16:D16"/>
    <mergeCell ref="C17:D17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42:D42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54:D5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66:D66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78:D78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90:D90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A104:D104"/>
    <mergeCell ref="C91:D91"/>
    <mergeCell ref="C92:D92"/>
    <mergeCell ref="C93:D93"/>
    <mergeCell ref="C94:D94"/>
    <mergeCell ref="C95:D95"/>
    <mergeCell ref="C96:D96"/>
    <mergeCell ref="C97:D97"/>
    <mergeCell ref="C98:D98"/>
    <mergeCell ref="A99:D99"/>
    <mergeCell ref="C102:D102"/>
    <mergeCell ref="C103:D103"/>
  </mergeCells>
  <pageMargins left="0" right="0" top="0" bottom="0" header="0" footer="0"/>
  <pageSetup paperSize="346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D8B8-8786-4F26-A677-0234512DF8EA}">
  <sheetPr>
    <tabColor rgb="FF00B050"/>
  </sheetPr>
  <dimension ref="A1:L104"/>
  <sheetViews>
    <sheetView showGridLines="0" workbookViewId="0">
      <selection activeCell="A6" sqref="A6:XFD7"/>
    </sheetView>
  </sheetViews>
  <sheetFormatPr defaultRowHeight="15" x14ac:dyDescent="0.25"/>
  <cols>
    <col min="1" max="1" width="13" customWidth="1"/>
    <col min="2" max="2" width="12.85546875" customWidth="1"/>
    <col min="3" max="3" width="9.85546875" customWidth="1"/>
    <col min="4" max="4" width="8.8554687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142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46202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84</v>
      </c>
      <c r="C7" s="4">
        <v>77</v>
      </c>
      <c r="D7" s="4" t="s">
        <v>22</v>
      </c>
      <c r="E7" s="15">
        <v>3658.4</v>
      </c>
      <c r="F7" s="15">
        <v>113.90000000000003</v>
      </c>
      <c r="G7" s="15">
        <f>E7-F7</f>
        <v>3544.5</v>
      </c>
      <c r="H7" s="6">
        <v>46199</v>
      </c>
      <c r="I7" s="6" t="s">
        <v>20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143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144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84</v>
      </c>
      <c r="C16" s="74" t="s">
        <v>22</v>
      </c>
      <c r="D16" s="74"/>
      <c r="E16" s="3">
        <v>1</v>
      </c>
      <c r="F16" s="15">
        <v>50.1</v>
      </c>
      <c r="G16" s="15">
        <v>1.2</v>
      </c>
      <c r="H16" s="15">
        <f>F16-G16</f>
        <v>48.9</v>
      </c>
      <c r="I16" s="4" t="s">
        <v>20</v>
      </c>
    </row>
    <row r="17" spans="1:9" x14ac:dyDescent="0.25">
      <c r="A17" t="s">
        <v>23</v>
      </c>
      <c r="B17" t="s">
        <v>84</v>
      </c>
      <c r="C17" s="70" t="s">
        <v>22</v>
      </c>
      <c r="D17" s="70"/>
      <c r="E17" s="3">
        <f>E16+1</f>
        <v>2</v>
      </c>
      <c r="F17" s="15">
        <v>47.6</v>
      </c>
      <c r="G17" s="15">
        <v>1.6</v>
      </c>
      <c r="H17" s="15">
        <f t="shared" ref="H17:H80" si="0">F17-G17</f>
        <v>46</v>
      </c>
      <c r="I17" s="4" t="s">
        <v>20</v>
      </c>
    </row>
    <row r="18" spans="1:9" x14ac:dyDescent="0.25">
      <c r="A18" t="s">
        <v>23</v>
      </c>
      <c r="B18" t="s">
        <v>84</v>
      </c>
      <c r="C18" s="70" t="s">
        <v>22</v>
      </c>
      <c r="D18" s="70"/>
      <c r="E18" s="3">
        <f t="shared" ref="E18:E81" si="1">E17+1</f>
        <v>3</v>
      </c>
      <c r="F18" s="15">
        <v>47.1</v>
      </c>
      <c r="G18" s="15">
        <v>1.2</v>
      </c>
      <c r="H18" s="15">
        <f t="shared" si="0"/>
        <v>45.9</v>
      </c>
      <c r="I18" s="4" t="s">
        <v>20</v>
      </c>
    </row>
    <row r="19" spans="1:9" x14ac:dyDescent="0.25">
      <c r="A19" t="s">
        <v>23</v>
      </c>
      <c r="B19" t="s">
        <v>84</v>
      </c>
      <c r="C19" s="70" t="s">
        <v>22</v>
      </c>
      <c r="D19" s="70"/>
      <c r="E19" s="3">
        <f t="shared" si="1"/>
        <v>4</v>
      </c>
      <c r="F19" s="15">
        <v>49.4</v>
      </c>
      <c r="G19" s="15">
        <v>1.7</v>
      </c>
      <c r="H19" s="15">
        <f t="shared" si="0"/>
        <v>47.699999999999996</v>
      </c>
      <c r="I19" s="4" t="s">
        <v>20</v>
      </c>
    </row>
    <row r="20" spans="1:9" x14ac:dyDescent="0.25">
      <c r="A20" t="s">
        <v>23</v>
      </c>
      <c r="B20" t="s">
        <v>84</v>
      </c>
      <c r="C20" s="70" t="s">
        <v>22</v>
      </c>
      <c r="D20" s="70"/>
      <c r="E20" s="3">
        <f t="shared" si="1"/>
        <v>5</v>
      </c>
      <c r="F20" s="15">
        <v>50.4</v>
      </c>
      <c r="G20" s="15">
        <v>1.2</v>
      </c>
      <c r="H20" s="15">
        <f t="shared" si="0"/>
        <v>49.199999999999996</v>
      </c>
      <c r="I20" s="4" t="s">
        <v>20</v>
      </c>
    </row>
    <row r="21" spans="1:9" x14ac:dyDescent="0.25">
      <c r="A21" t="s">
        <v>23</v>
      </c>
      <c r="B21" t="s">
        <v>84</v>
      </c>
      <c r="C21" s="70" t="s">
        <v>22</v>
      </c>
      <c r="D21" s="70"/>
      <c r="E21" s="3">
        <f t="shared" si="1"/>
        <v>6</v>
      </c>
      <c r="F21" s="15">
        <v>33.799999999999997</v>
      </c>
      <c r="G21" s="15">
        <v>1.5</v>
      </c>
      <c r="H21" s="15">
        <f t="shared" si="0"/>
        <v>32.299999999999997</v>
      </c>
      <c r="I21" s="4" t="s">
        <v>20</v>
      </c>
    </row>
    <row r="22" spans="1:9" x14ac:dyDescent="0.25">
      <c r="A22" t="s">
        <v>23</v>
      </c>
      <c r="B22" t="s">
        <v>84</v>
      </c>
      <c r="C22" s="70" t="s">
        <v>22</v>
      </c>
      <c r="D22" s="70"/>
      <c r="E22" s="3">
        <f t="shared" si="1"/>
        <v>7</v>
      </c>
      <c r="F22" s="15">
        <v>43.1</v>
      </c>
      <c r="G22" s="15">
        <v>0.7</v>
      </c>
      <c r="H22" s="15">
        <f t="shared" si="0"/>
        <v>42.4</v>
      </c>
      <c r="I22" s="4" t="s">
        <v>20</v>
      </c>
    </row>
    <row r="23" spans="1:9" x14ac:dyDescent="0.25">
      <c r="A23" t="s">
        <v>23</v>
      </c>
      <c r="B23" t="s">
        <v>84</v>
      </c>
      <c r="C23" s="70" t="s">
        <v>22</v>
      </c>
      <c r="D23" s="70"/>
      <c r="E23" s="3">
        <f t="shared" si="1"/>
        <v>8</v>
      </c>
      <c r="F23" s="15">
        <v>46.3</v>
      </c>
      <c r="G23" s="15">
        <v>0.8</v>
      </c>
      <c r="H23" s="15">
        <f t="shared" si="0"/>
        <v>45.5</v>
      </c>
      <c r="I23" s="4" t="s">
        <v>20</v>
      </c>
    </row>
    <row r="24" spans="1:9" x14ac:dyDescent="0.25">
      <c r="A24" t="s">
        <v>23</v>
      </c>
      <c r="B24" t="s">
        <v>84</v>
      </c>
      <c r="C24" s="70" t="s">
        <v>22</v>
      </c>
      <c r="D24" s="70"/>
      <c r="E24" s="3">
        <f t="shared" si="1"/>
        <v>9</v>
      </c>
      <c r="F24" s="15">
        <v>22.2</v>
      </c>
      <c r="G24" s="15">
        <v>1.3</v>
      </c>
      <c r="H24" s="15">
        <f t="shared" si="0"/>
        <v>20.9</v>
      </c>
      <c r="I24" s="4" t="s">
        <v>20</v>
      </c>
    </row>
    <row r="25" spans="1:9" x14ac:dyDescent="0.25">
      <c r="A25" t="s">
        <v>23</v>
      </c>
      <c r="B25" t="s">
        <v>84</v>
      </c>
      <c r="C25" s="70" t="s">
        <v>22</v>
      </c>
      <c r="D25" s="70"/>
      <c r="E25" s="3">
        <f t="shared" si="1"/>
        <v>10</v>
      </c>
      <c r="F25" s="15">
        <v>48.7</v>
      </c>
      <c r="G25" s="15">
        <v>2.1</v>
      </c>
      <c r="H25" s="15">
        <f t="shared" si="0"/>
        <v>46.6</v>
      </c>
      <c r="I25" s="4" t="s">
        <v>20</v>
      </c>
    </row>
    <row r="26" spans="1:9" x14ac:dyDescent="0.25">
      <c r="A26" t="s">
        <v>23</v>
      </c>
      <c r="B26" t="s">
        <v>84</v>
      </c>
      <c r="C26" s="70" t="s">
        <v>22</v>
      </c>
      <c r="D26" s="70"/>
      <c r="E26" s="3">
        <f t="shared" si="1"/>
        <v>11</v>
      </c>
      <c r="F26" s="15">
        <v>42.2</v>
      </c>
      <c r="G26" s="15">
        <v>1.3</v>
      </c>
      <c r="H26" s="15">
        <f t="shared" si="0"/>
        <v>40.900000000000006</v>
      </c>
      <c r="I26" s="4" t="s">
        <v>20</v>
      </c>
    </row>
    <row r="27" spans="1:9" x14ac:dyDescent="0.25">
      <c r="A27" t="s">
        <v>23</v>
      </c>
      <c r="B27" t="s">
        <v>84</v>
      </c>
      <c r="C27" s="70" t="s">
        <v>22</v>
      </c>
      <c r="D27" s="70"/>
      <c r="E27" s="3">
        <f t="shared" si="1"/>
        <v>12</v>
      </c>
      <c r="F27" s="15">
        <v>48</v>
      </c>
      <c r="G27" s="15">
        <v>1.6</v>
      </c>
      <c r="H27" s="15">
        <f t="shared" si="0"/>
        <v>46.4</v>
      </c>
      <c r="I27" s="4" t="s">
        <v>20</v>
      </c>
    </row>
    <row r="28" spans="1:9" x14ac:dyDescent="0.25">
      <c r="A28" t="s">
        <v>23</v>
      </c>
      <c r="B28" t="s">
        <v>84</v>
      </c>
      <c r="C28" s="70" t="s">
        <v>22</v>
      </c>
      <c r="D28" s="70"/>
      <c r="E28" s="3">
        <f t="shared" si="1"/>
        <v>13</v>
      </c>
      <c r="F28" s="15">
        <v>47.7</v>
      </c>
      <c r="G28" s="15">
        <v>1.7</v>
      </c>
      <c r="H28" s="15">
        <f t="shared" si="0"/>
        <v>46</v>
      </c>
      <c r="I28" s="4" t="s">
        <v>20</v>
      </c>
    </row>
    <row r="29" spans="1:9" x14ac:dyDescent="0.25">
      <c r="A29" t="s">
        <v>23</v>
      </c>
      <c r="B29" t="s">
        <v>84</v>
      </c>
      <c r="C29" s="70" t="s">
        <v>22</v>
      </c>
      <c r="D29" s="70"/>
      <c r="E29" s="3">
        <f t="shared" si="1"/>
        <v>14</v>
      </c>
      <c r="F29" s="15">
        <v>51</v>
      </c>
      <c r="G29" s="15">
        <v>1.4</v>
      </c>
      <c r="H29" s="15">
        <f t="shared" si="0"/>
        <v>49.6</v>
      </c>
      <c r="I29" s="4" t="s">
        <v>20</v>
      </c>
    </row>
    <row r="30" spans="1:9" x14ac:dyDescent="0.25">
      <c r="A30" t="s">
        <v>23</v>
      </c>
      <c r="B30" t="s">
        <v>84</v>
      </c>
      <c r="C30" s="70" t="s">
        <v>22</v>
      </c>
      <c r="D30" s="70"/>
      <c r="E30" s="3">
        <f t="shared" si="1"/>
        <v>15</v>
      </c>
      <c r="F30" s="15">
        <v>53.1</v>
      </c>
      <c r="G30" s="15">
        <v>1.1000000000000001</v>
      </c>
      <c r="H30" s="15">
        <f t="shared" si="0"/>
        <v>52</v>
      </c>
      <c r="I30" s="4" t="s">
        <v>20</v>
      </c>
    </row>
    <row r="31" spans="1:9" x14ac:dyDescent="0.25">
      <c r="A31" t="s">
        <v>23</v>
      </c>
      <c r="B31" t="s">
        <v>84</v>
      </c>
      <c r="C31" s="70" t="s">
        <v>22</v>
      </c>
      <c r="D31" s="70"/>
      <c r="E31" s="3">
        <f t="shared" si="1"/>
        <v>16</v>
      </c>
      <c r="F31" s="15">
        <v>46.2</v>
      </c>
      <c r="G31" s="15">
        <v>1.4</v>
      </c>
      <c r="H31" s="15">
        <f t="shared" si="0"/>
        <v>44.800000000000004</v>
      </c>
      <c r="I31" s="4" t="s">
        <v>20</v>
      </c>
    </row>
    <row r="32" spans="1:9" x14ac:dyDescent="0.25">
      <c r="A32" t="s">
        <v>23</v>
      </c>
      <c r="B32" t="s">
        <v>84</v>
      </c>
      <c r="C32" s="70" t="s">
        <v>22</v>
      </c>
      <c r="D32" s="70"/>
      <c r="E32" s="3">
        <f t="shared" si="1"/>
        <v>17</v>
      </c>
      <c r="F32" s="15">
        <v>48</v>
      </c>
      <c r="G32" s="15">
        <v>1.4</v>
      </c>
      <c r="H32" s="15">
        <f t="shared" si="0"/>
        <v>46.6</v>
      </c>
      <c r="I32" s="4" t="s">
        <v>20</v>
      </c>
    </row>
    <row r="33" spans="1:9" x14ac:dyDescent="0.25">
      <c r="A33" t="s">
        <v>23</v>
      </c>
      <c r="B33" t="s">
        <v>84</v>
      </c>
      <c r="C33" s="70" t="s">
        <v>22</v>
      </c>
      <c r="D33" s="70"/>
      <c r="E33" s="3">
        <f t="shared" si="1"/>
        <v>18</v>
      </c>
      <c r="F33" s="15">
        <v>33.6</v>
      </c>
      <c r="G33" s="15">
        <v>1.7</v>
      </c>
      <c r="H33" s="15">
        <f t="shared" si="0"/>
        <v>31.900000000000002</v>
      </c>
      <c r="I33" s="4" t="s">
        <v>20</v>
      </c>
    </row>
    <row r="34" spans="1:9" x14ac:dyDescent="0.25">
      <c r="A34" t="s">
        <v>23</v>
      </c>
      <c r="B34" t="s">
        <v>84</v>
      </c>
      <c r="C34" s="70" t="s">
        <v>22</v>
      </c>
      <c r="D34" s="70"/>
      <c r="E34" s="3">
        <f t="shared" si="1"/>
        <v>19</v>
      </c>
      <c r="F34" s="15">
        <v>51.2</v>
      </c>
      <c r="G34" s="15">
        <v>1.8</v>
      </c>
      <c r="H34" s="15">
        <f t="shared" si="0"/>
        <v>49.400000000000006</v>
      </c>
      <c r="I34" s="4" t="s">
        <v>20</v>
      </c>
    </row>
    <row r="35" spans="1:9" x14ac:dyDescent="0.25">
      <c r="A35" t="s">
        <v>23</v>
      </c>
      <c r="B35" t="s">
        <v>84</v>
      </c>
      <c r="C35" s="70" t="s">
        <v>22</v>
      </c>
      <c r="D35" s="70"/>
      <c r="E35" s="3">
        <f t="shared" si="1"/>
        <v>20</v>
      </c>
      <c r="F35" s="15">
        <v>49.8</v>
      </c>
      <c r="G35" s="15">
        <v>1.3</v>
      </c>
      <c r="H35" s="15">
        <f t="shared" si="0"/>
        <v>48.5</v>
      </c>
      <c r="I35" s="4" t="s">
        <v>20</v>
      </c>
    </row>
    <row r="36" spans="1:9" x14ac:dyDescent="0.25">
      <c r="A36" t="s">
        <v>23</v>
      </c>
      <c r="B36" t="s">
        <v>84</v>
      </c>
      <c r="C36" s="70" t="s">
        <v>22</v>
      </c>
      <c r="D36" s="70"/>
      <c r="E36" s="3">
        <f t="shared" si="1"/>
        <v>21</v>
      </c>
      <c r="F36" s="15">
        <v>43.9</v>
      </c>
      <c r="G36" s="15">
        <v>1.9</v>
      </c>
      <c r="H36" s="15">
        <f t="shared" si="0"/>
        <v>42</v>
      </c>
      <c r="I36" s="4" t="s">
        <v>20</v>
      </c>
    </row>
    <row r="37" spans="1:9" x14ac:dyDescent="0.25">
      <c r="A37" t="s">
        <v>23</v>
      </c>
      <c r="B37" t="s">
        <v>84</v>
      </c>
      <c r="C37" s="70" t="s">
        <v>22</v>
      </c>
      <c r="D37" s="70"/>
      <c r="E37" s="3">
        <f t="shared" si="1"/>
        <v>22</v>
      </c>
      <c r="F37" s="15">
        <v>52.4</v>
      </c>
      <c r="G37" s="15">
        <v>1.7</v>
      </c>
      <c r="H37" s="15">
        <f t="shared" si="0"/>
        <v>50.699999999999996</v>
      </c>
      <c r="I37" s="4" t="s">
        <v>20</v>
      </c>
    </row>
    <row r="38" spans="1:9" x14ac:dyDescent="0.25">
      <c r="A38" t="s">
        <v>23</v>
      </c>
      <c r="B38" t="s">
        <v>84</v>
      </c>
      <c r="C38" s="70" t="s">
        <v>22</v>
      </c>
      <c r="D38" s="70"/>
      <c r="E38" s="3">
        <f t="shared" si="1"/>
        <v>23</v>
      </c>
      <c r="F38" s="15">
        <v>45</v>
      </c>
      <c r="G38" s="15">
        <v>1.5</v>
      </c>
      <c r="H38" s="15">
        <f t="shared" si="0"/>
        <v>43.5</v>
      </c>
      <c r="I38" s="4" t="s">
        <v>20</v>
      </c>
    </row>
    <row r="39" spans="1:9" x14ac:dyDescent="0.25">
      <c r="A39" t="s">
        <v>23</v>
      </c>
      <c r="B39" t="s">
        <v>84</v>
      </c>
      <c r="C39" s="70" t="s">
        <v>22</v>
      </c>
      <c r="D39" s="70"/>
      <c r="E39" s="3">
        <f t="shared" si="1"/>
        <v>24</v>
      </c>
      <c r="F39" s="15">
        <v>68.2</v>
      </c>
      <c r="G39" s="15">
        <v>1.5</v>
      </c>
      <c r="H39" s="15">
        <f t="shared" si="0"/>
        <v>66.7</v>
      </c>
      <c r="I39" s="4" t="s">
        <v>20</v>
      </c>
    </row>
    <row r="40" spans="1:9" x14ac:dyDescent="0.25">
      <c r="A40" t="s">
        <v>23</v>
      </c>
      <c r="B40" t="s">
        <v>84</v>
      </c>
      <c r="C40" s="70" t="s">
        <v>22</v>
      </c>
      <c r="D40" s="70"/>
      <c r="E40" s="3">
        <f t="shared" si="1"/>
        <v>25</v>
      </c>
      <c r="F40" s="15">
        <v>52.8</v>
      </c>
      <c r="G40" s="15">
        <v>1.6</v>
      </c>
      <c r="H40" s="15">
        <f t="shared" si="0"/>
        <v>51.199999999999996</v>
      </c>
      <c r="I40" s="4" t="s">
        <v>20</v>
      </c>
    </row>
    <row r="41" spans="1:9" x14ac:dyDescent="0.25">
      <c r="A41" t="s">
        <v>23</v>
      </c>
      <c r="B41" t="s">
        <v>84</v>
      </c>
      <c r="C41" s="70" t="s">
        <v>22</v>
      </c>
      <c r="D41" s="70"/>
      <c r="E41" s="3">
        <f t="shared" si="1"/>
        <v>26</v>
      </c>
      <c r="F41" s="15">
        <v>50.2</v>
      </c>
      <c r="G41" s="15">
        <v>1.4</v>
      </c>
      <c r="H41" s="15">
        <f t="shared" si="0"/>
        <v>48.800000000000004</v>
      </c>
      <c r="I41" s="4" t="s">
        <v>20</v>
      </c>
    </row>
    <row r="42" spans="1:9" x14ac:dyDescent="0.25">
      <c r="A42" t="s">
        <v>23</v>
      </c>
      <c r="B42" t="s">
        <v>84</v>
      </c>
      <c r="C42" s="70" t="s">
        <v>22</v>
      </c>
      <c r="D42" s="70"/>
      <c r="E42" s="3">
        <f t="shared" si="1"/>
        <v>27</v>
      </c>
      <c r="F42" s="15">
        <v>48.5</v>
      </c>
      <c r="G42" s="15">
        <v>1.7</v>
      </c>
      <c r="H42" s="15">
        <f t="shared" si="0"/>
        <v>46.8</v>
      </c>
      <c r="I42" s="4" t="s">
        <v>20</v>
      </c>
    </row>
    <row r="43" spans="1:9" x14ac:dyDescent="0.25">
      <c r="A43" t="s">
        <v>23</v>
      </c>
      <c r="B43" t="s">
        <v>84</v>
      </c>
      <c r="C43" s="70" t="s">
        <v>22</v>
      </c>
      <c r="D43" s="70"/>
      <c r="E43" s="3">
        <f t="shared" si="1"/>
        <v>28</v>
      </c>
      <c r="F43" s="15">
        <v>52.6</v>
      </c>
      <c r="G43" s="15">
        <v>1.8</v>
      </c>
      <c r="H43" s="15">
        <f t="shared" si="0"/>
        <v>50.800000000000004</v>
      </c>
      <c r="I43" s="4" t="s">
        <v>20</v>
      </c>
    </row>
    <row r="44" spans="1:9" x14ac:dyDescent="0.25">
      <c r="A44" t="s">
        <v>23</v>
      </c>
      <c r="B44" t="s">
        <v>84</v>
      </c>
      <c r="C44" s="70" t="s">
        <v>22</v>
      </c>
      <c r="D44" s="70"/>
      <c r="E44" s="3">
        <f t="shared" si="1"/>
        <v>29</v>
      </c>
      <c r="F44" s="15">
        <v>53.9</v>
      </c>
      <c r="G44" s="15">
        <v>1.9</v>
      </c>
      <c r="H44" s="15">
        <f t="shared" si="0"/>
        <v>52</v>
      </c>
      <c r="I44" s="4" t="s">
        <v>20</v>
      </c>
    </row>
    <row r="45" spans="1:9" x14ac:dyDescent="0.25">
      <c r="A45" t="s">
        <v>23</v>
      </c>
      <c r="B45" t="s">
        <v>84</v>
      </c>
      <c r="C45" s="70" t="s">
        <v>22</v>
      </c>
      <c r="D45" s="70"/>
      <c r="E45" s="3">
        <f t="shared" si="1"/>
        <v>30</v>
      </c>
      <c r="F45" s="15">
        <v>51.7</v>
      </c>
      <c r="G45" s="15">
        <v>1.1000000000000001</v>
      </c>
      <c r="H45" s="15">
        <f t="shared" si="0"/>
        <v>50.6</v>
      </c>
      <c r="I45" s="4" t="s">
        <v>20</v>
      </c>
    </row>
    <row r="46" spans="1:9" x14ac:dyDescent="0.25">
      <c r="A46" t="s">
        <v>23</v>
      </c>
      <c r="B46" t="s">
        <v>84</v>
      </c>
      <c r="C46" s="70" t="s">
        <v>22</v>
      </c>
      <c r="D46" s="70"/>
      <c r="E46" s="3">
        <f t="shared" si="1"/>
        <v>31</v>
      </c>
      <c r="F46" s="15">
        <v>45</v>
      </c>
      <c r="G46" s="15">
        <v>1.7</v>
      </c>
      <c r="H46" s="15">
        <f t="shared" si="0"/>
        <v>43.3</v>
      </c>
      <c r="I46" s="4" t="s">
        <v>20</v>
      </c>
    </row>
    <row r="47" spans="1:9" x14ac:dyDescent="0.25">
      <c r="A47" t="s">
        <v>23</v>
      </c>
      <c r="B47" t="s">
        <v>84</v>
      </c>
      <c r="C47" s="70" t="s">
        <v>22</v>
      </c>
      <c r="D47" s="70"/>
      <c r="E47" s="3">
        <f t="shared" si="1"/>
        <v>32</v>
      </c>
      <c r="F47" s="15">
        <v>37.799999999999997</v>
      </c>
      <c r="G47" s="15">
        <v>1.5</v>
      </c>
      <c r="H47" s="15">
        <f t="shared" si="0"/>
        <v>36.299999999999997</v>
      </c>
      <c r="I47" s="4" t="s">
        <v>20</v>
      </c>
    </row>
    <row r="48" spans="1:9" x14ac:dyDescent="0.25">
      <c r="A48" t="s">
        <v>23</v>
      </c>
      <c r="B48" t="s">
        <v>84</v>
      </c>
      <c r="C48" s="70" t="s">
        <v>22</v>
      </c>
      <c r="D48" s="70"/>
      <c r="E48" s="3">
        <f t="shared" si="1"/>
        <v>33</v>
      </c>
      <c r="F48" s="15">
        <v>43.1</v>
      </c>
      <c r="G48" s="15">
        <v>1.1000000000000001</v>
      </c>
      <c r="H48" s="15">
        <f t="shared" si="0"/>
        <v>42</v>
      </c>
      <c r="I48" s="4" t="s">
        <v>20</v>
      </c>
    </row>
    <row r="49" spans="1:9" x14ac:dyDescent="0.25">
      <c r="A49" t="s">
        <v>23</v>
      </c>
      <c r="B49" t="s">
        <v>84</v>
      </c>
      <c r="C49" s="70" t="s">
        <v>22</v>
      </c>
      <c r="D49" s="70"/>
      <c r="E49" s="3">
        <f t="shared" si="1"/>
        <v>34</v>
      </c>
      <c r="F49" s="15">
        <v>48.1</v>
      </c>
      <c r="G49" s="15">
        <v>1.4</v>
      </c>
      <c r="H49" s="15">
        <f t="shared" si="0"/>
        <v>46.7</v>
      </c>
      <c r="I49" s="4" t="s">
        <v>20</v>
      </c>
    </row>
    <row r="50" spans="1:9" x14ac:dyDescent="0.25">
      <c r="A50" t="s">
        <v>23</v>
      </c>
      <c r="B50" t="s">
        <v>84</v>
      </c>
      <c r="C50" s="70" t="s">
        <v>22</v>
      </c>
      <c r="D50" s="70"/>
      <c r="E50" s="3">
        <f t="shared" si="1"/>
        <v>35</v>
      </c>
      <c r="F50" s="15">
        <v>45.9</v>
      </c>
      <c r="G50" s="15">
        <v>1.7</v>
      </c>
      <c r="H50" s="15">
        <f t="shared" si="0"/>
        <v>44.199999999999996</v>
      </c>
      <c r="I50" s="4" t="s">
        <v>20</v>
      </c>
    </row>
    <row r="51" spans="1:9" x14ac:dyDescent="0.25">
      <c r="A51" t="s">
        <v>23</v>
      </c>
      <c r="B51" t="s">
        <v>84</v>
      </c>
      <c r="C51" s="70" t="s">
        <v>22</v>
      </c>
      <c r="D51" s="70"/>
      <c r="E51" s="3">
        <f t="shared" si="1"/>
        <v>36</v>
      </c>
      <c r="F51" s="15">
        <v>43.2</v>
      </c>
      <c r="G51" s="15">
        <v>1.7</v>
      </c>
      <c r="H51" s="15">
        <f t="shared" si="0"/>
        <v>41.5</v>
      </c>
      <c r="I51" s="4" t="s">
        <v>20</v>
      </c>
    </row>
    <row r="52" spans="1:9" x14ac:dyDescent="0.25">
      <c r="A52" t="s">
        <v>23</v>
      </c>
      <c r="B52" t="s">
        <v>84</v>
      </c>
      <c r="C52" s="70" t="s">
        <v>22</v>
      </c>
      <c r="D52" s="70"/>
      <c r="E52" s="3">
        <f t="shared" si="1"/>
        <v>37</v>
      </c>
      <c r="F52" s="15">
        <v>48</v>
      </c>
      <c r="G52" s="15">
        <v>1.5</v>
      </c>
      <c r="H52" s="15">
        <f t="shared" si="0"/>
        <v>46.5</v>
      </c>
      <c r="I52" s="4" t="s">
        <v>20</v>
      </c>
    </row>
    <row r="53" spans="1:9" x14ac:dyDescent="0.25">
      <c r="A53" t="s">
        <v>23</v>
      </c>
      <c r="B53" t="s">
        <v>84</v>
      </c>
      <c r="C53" s="70" t="s">
        <v>22</v>
      </c>
      <c r="D53" s="70"/>
      <c r="E53" s="3">
        <f t="shared" si="1"/>
        <v>38</v>
      </c>
      <c r="F53" s="15">
        <v>47.5</v>
      </c>
      <c r="G53" s="15">
        <v>1.8</v>
      </c>
      <c r="H53" s="15">
        <f t="shared" si="0"/>
        <v>45.7</v>
      </c>
      <c r="I53" s="4" t="s">
        <v>20</v>
      </c>
    </row>
    <row r="54" spans="1:9" x14ac:dyDescent="0.25">
      <c r="A54" t="s">
        <v>23</v>
      </c>
      <c r="B54" t="s">
        <v>84</v>
      </c>
      <c r="C54" s="70" t="s">
        <v>22</v>
      </c>
      <c r="D54" s="70"/>
      <c r="E54" s="3">
        <f t="shared" si="1"/>
        <v>39</v>
      </c>
      <c r="F54" s="15">
        <v>38.9</v>
      </c>
      <c r="G54" s="15">
        <v>1.6</v>
      </c>
      <c r="H54" s="15">
        <f t="shared" si="0"/>
        <v>37.299999999999997</v>
      </c>
      <c r="I54" s="4" t="s">
        <v>20</v>
      </c>
    </row>
    <row r="55" spans="1:9" x14ac:dyDescent="0.25">
      <c r="A55" t="s">
        <v>23</v>
      </c>
      <c r="B55" t="s">
        <v>84</v>
      </c>
      <c r="C55" s="70" t="s">
        <v>22</v>
      </c>
      <c r="D55" s="70"/>
      <c r="E55" s="3">
        <f t="shared" si="1"/>
        <v>40</v>
      </c>
      <c r="F55" s="15">
        <v>48.8</v>
      </c>
      <c r="G55" s="15">
        <v>1.6</v>
      </c>
      <c r="H55" s="15">
        <f t="shared" si="0"/>
        <v>47.199999999999996</v>
      </c>
      <c r="I55" s="4" t="s">
        <v>20</v>
      </c>
    </row>
    <row r="56" spans="1:9" x14ac:dyDescent="0.25">
      <c r="A56" t="s">
        <v>23</v>
      </c>
      <c r="B56" t="s">
        <v>84</v>
      </c>
      <c r="C56" s="70" t="s">
        <v>22</v>
      </c>
      <c r="D56" s="70"/>
      <c r="E56" s="3">
        <f t="shared" si="1"/>
        <v>41</v>
      </c>
      <c r="F56" s="15">
        <v>36.4</v>
      </c>
      <c r="G56" s="15">
        <v>1.7</v>
      </c>
      <c r="H56" s="15">
        <f t="shared" si="0"/>
        <v>34.699999999999996</v>
      </c>
      <c r="I56" s="4" t="s">
        <v>20</v>
      </c>
    </row>
    <row r="57" spans="1:9" x14ac:dyDescent="0.25">
      <c r="A57" t="s">
        <v>23</v>
      </c>
      <c r="B57" t="s">
        <v>84</v>
      </c>
      <c r="C57" s="70" t="s">
        <v>22</v>
      </c>
      <c r="D57" s="70"/>
      <c r="E57" s="3">
        <f t="shared" si="1"/>
        <v>42</v>
      </c>
      <c r="F57" s="15">
        <v>48.1</v>
      </c>
      <c r="G57" s="15">
        <v>1.9</v>
      </c>
      <c r="H57" s="15">
        <f t="shared" si="0"/>
        <v>46.2</v>
      </c>
      <c r="I57" s="4" t="s">
        <v>20</v>
      </c>
    </row>
    <row r="58" spans="1:9" x14ac:dyDescent="0.25">
      <c r="A58" t="s">
        <v>23</v>
      </c>
      <c r="B58" t="s">
        <v>84</v>
      </c>
      <c r="C58" s="70" t="s">
        <v>22</v>
      </c>
      <c r="D58" s="70"/>
      <c r="E58" s="3">
        <f t="shared" si="1"/>
        <v>43</v>
      </c>
      <c r="F58" s="15">
        <v>57.5</v>
      </c>
      <c r="G58" s="15">
        <v>1.7</v>
      </c>
      <c r="H58" s="15">
        <f t="shared" si="0"/>
        <v>55.8</v>
      </c>
      <c r="I58" s="4" t="s">
        <v>20</v>
      </c>
    </row>
    <row r="59" spans="1:9" x14ac:dyDescent="0.25">
      <c r="A59" t="s">
        <v>23</v>
      </c>
      <c r="B59" t="s">
        <v>84</v>
      </c>
      <c r="C59" s="70" t="s">
        <v>22</v>
      </c>
      <c r="D59" s="70"/>
      <c r="E59" s="3">
        <f t="shared" si="1"/>
        <v>44</v>
      </c>
      <c r="F59" s="15">
        <v>44.7</v>
      </c>
      <c r="G59" s="15">
        <v>1.5</v>
      </c>
      <c r="H59" s="15">
        <f t="shared" si="0"/>
        <v>43.2</v>
      </c>
      <c r="I59" s="4" t="s">
        <v>20</v>
      </c>
    </row>
    <row r="60" spans="1:9" x14ac:dyDescent="0.25">
      <c r="A60" t="s">
        <v>23</v>
      </c>
      <c r="B60" t="s">
        <v>84</v>
      </c>
      <c r="C60" s="70" t="s">
        <v>22</v>
      </c>
      <c r="D60" s="70"/>
      <c r="E60" s="3">
        <f t="shared" si="1"/>
        <v>45</v>
      </c>
      <c r="F60" s="15">
        <v>46</v>
      </c>
      <c r="G60" s="15">
        <v>1.6</v>
      </c>
      <c r="H60" s="15">
        <f t="shared" si="0"/>
        <v>44.4</v>
      </c>
      <c r="I60" s="4" t="s">
        <v>20</v>
      </c>
    </row>
    <row r="61" spans="1:9" x14ac:dyDescent="0.25">
      <c r="A61" t="s">
        <v>23</v>
      </c>
      <c r="B61" t="s">
        <v>84</v>
      </c>
      <c r="C61" s="70" t="s">
        <v>22</v>
      </c>
      <c r="D61" s="70"/>
      <c r="E61" s="3">
        <f t="shared" si="1"/>
        <v>46</v>
      </c>
      <c r="F61" s="15">
        <v>38.799999999999997</v>
      </c>
      <c r="G61" s="15">
        <v>1.4</v>
      </c>
      <c r="H61" s="15">
        <f t="shared" si="0"/>
        <v>37.4</v>
      </c>
      <c r="I61" s="4" t="s">
        <v>20</v>
      </c>
    </row>
    <row r="62" spans="1:9" x14ac:dyDescent="0.25">
      <c r="A62" t="s">
        <v>23</v>
      </c>
      <c r="B62" t="s">
        <v>84</v>
      </c>
      <c r="C62" s="70" t="s">
        <v>22</v>
      </c>
      <c r="D62" s="70"/>
      <c r="E62" s="3">
        <f t="shared" si="1"/>
        <v>47</v>
      </c>
      <c r="F62" s="15">
        <v>35</v>
      </c>
      <c r="G62" s="15">
        <v>1.9</v>
      </c>
      <c r="H62" s="15">
        <f t="shared" si="0"/>
        <v>33.1</v>
      </c>
      <c r="I62" s="4" t="s">
        <v>20</v>
      </c>
    </row>
    <row r="63" spans="1:9" x14ac:dyDescent="0.25">
      <c r="A63" t="s">
        <v>23</v>
      </c>
      <c r="B63" t="s">
        <v>84</v>
      </c>
      <c r="C63" s="70" t="s">
        <v>22</v>
      </c>
      <c r="D63" s="70"/>
      <c r="E63" s="3">
        <f t="shared" si="1"/>
        <v>48</v>
      </c>
      <c r="F63" s="15">
        <v>43.7</v>
      </c>
      <c r="G63" s="15">
        <v>1.7</v>
      </c>
      <c r="H63" s="15">
        <f t="shared" si="0"/>
        <v>42</v>
      </c>
      <c r="I63" s="4" t="s">
        <v>20</v>
      </c>
    </row>
    <row r="64" spans="1:9" x14ac:dyDescent="0.25">
      <c r="A64" t="s">
        <v>23</v>
      </c>
      <c r="B64" t="s">
        <v>84</v>
      </c>
      <c r="C64" s="70" t="s">
        <v>22</v>
      </c>
      <c r="D64" s="70"/>
      <c r="E64" s="3">
        <f t="shared" si="1"/>
        <v>49</v>
      </c>
      <c r="F64" s="15">
        <v>51.6</v>
      </c>
      <c r="G64" s="15">
        <v>1.7</v>
      </c>
      <c r="H64" s="15">
        <f t="shared" si="0"/>
        <v>49.9</v>
      </c>
      <c r="I64" s="4" t="s">
        <v>20</v>
      </c>
    </row>
    <row r="65" spans="1:9" x14ac:dyDescent="0.25">
      <c r="A65" t="s">
        <v>23</v>
      </c>
      <c r="B65" t="s">
        <v>84</v>
      </c>
      <c r="C65" s="70" t="s">
        <v>22</v>
      </c>
      <c r="D65" s="70"/>
      <c r="E65" s="3">
        <f t="shared" si="1"/>
        <v>50</v>
      </c>
      <c r="F65" s="15">
        <v>54.8</v>
      </c>
      <c r="G65" s="15">
        <v>1.2</v>
      </c>
      <c r="H65" s="15">
        <f t="shared" si="0"/>
        <v>53.599999999999994</v>
      </c>
      <c r="I65" s="4" t="s">
        <v>20</v>
      </c>
    </row>
    <row r="66" spans="1:9" x14ac:dyDescent="0.25">
      <c r="A66" t="s">
        <v>23</v>
      </c>
      <c r="B66" t="s">
        <v>84</v>
      </c>
      <c r="C66" s="70" t="s">
        <v>22</v>
      </c>
      <c r="D66" s="70"/>
      <c r="E66" s="3">
        <f t="shared" si="1"/>
        <v>51</v>
      </c>
      <c r="F66" s="15">
        <v>47.6</v>
      </c>
      <c r="G66" s="15">
        <v>1.1000000000000001</v>
      </c>
      <c r="H66" s="15">
        <f t="shared" si="0"/>
        <v>46.5</v>
      </c>
      <c r="I66" s="4" t="s">
        <v>20</v>
      </c>
    </row>
    <row r="67" spans="1:9" x14ac:dyDescent="0.25">
      <c r="A67" t="s">
        <v>23</v>
      </c>
      <c r="B67" t="s">
        <v>84</v>
      </c>
      <c r="C67" s="70" t="s">
        <v>22</v>
      </c>
      <c r="D67" s="70"/>
      <c r="E67" s="3">
        <f t="shared" si="1"/>
        <v>52</v>
      </c>
      <c r="F67" s="15">
        <v>50.1</v>
      </c>
      <c r="G67" s="15">
        <v>1.3</v>
      </c>
      <c r="H67" s="15">
        <f t="shared" si="0"/>
        <v>48.800000000000004</v>
      </c>
      <c r="I67" s="4" t="s">
        <v>20</v>
      </c>
    </row>
    <row r="68" spans="1:9" x14ac:dyDescent="0.25">
      <c r="A68" t="s">
        <v>23</v>
      </c>
      <c r="B68" t="s">
        <v>84</v>
      </c>
      <c r="C68" s="70" t="s">
        <v>22</v>
      </c>
      <c r="D68" s="70"/>
      <c r="E68" s="3">
        <f t="shared" si="1"/>
        <v>53</v>
      </c>
      <c r="F68" s="15">
        <v>48.2</v>
      </c>
      <c r="G68" s="15">
        <v>1.5</v>
      </c>
      <c r="H68" s="15">
        <f t="shared" si="0"/>
        <v>46.7</v>
      </c>
      <c r="I68" s="4" t="s">
        <v>20</v>
      </c>
    </row>
    <row r="69" spans="1:9" x14ac:dyDescent="0.25">
      <c r="A69" t="s">
        <v>23</v>
      </c>
      <c r="B69" t="s">
        <v>84</v>
      </c>
      <c r="C69" s="70" t="s">
        <v>22</v>
      </c>
      <c r="D69" s="70"/>
      <c r="E69" s="3">
        <f t="shared" si="1"/>
        <v>54</v>
      </c>
      <c r="F69" s="15">
        <v>46.6</v>
      </c>
      <c r="G69" s="15">
        <v>1.7</v>
      </c>
      <c r="H69" s="15">
        <f t="shared" si="0"/>
        <v>44.9</v>
      </c>
      <c r="I69" s="4" t="s">
        <v>20</v>
      </c>
    </row>
    <row r="70" spans="1:9" x14ac:dyDescent="0.25">
      <c r="A70" t="s">
        <v>23</v>
      </c>
      <c r="B70" t="s">
        <v>84</v>
      </c>
      <c r="C70" s="70" t="s">
        <v>22</v>
      </c>
      <c r="D70" s="70"/>
      <c r="E70" s="3">
        <f t="shared" si="1"/>
        <v>55</v>
      </c>
      <c r="F70" s="15">
        <v>47.6</v>
      </c>
      <c r="G70" s="15">
        <v>1</v>
      </c>
      <c r="H70" s="15">
        <f t="shared" si="0"/>
        <v>46.6</v>
      </c>
      <c r="I70" s="4" t="s">
        <v>20</v>
      </c>
    </row>
    <row r="71" spans="1:9" x14ac:dyDescent="0.25">
      <c r="A71" t="s">
        <v>23</v>
      </c>
      <c r="B71" t="s">
        <v>84</v>
      </c>
      <c r="C71" s="70" t="s">
        <v>22</v>
      </c>
      <c r="D71" s="70"/>
      <c r="E71" s="3">
        <f t="shared" si="1"/>
        <v>56</v>
      </c>
      <c r="F71" s="15">
        <v>51.6</v>
      </c>
      <c r="G71" s="15">
        <v>1.7</v>
      </c>
      <c r="H71" s="15">
        <f t="shared" si="0"/>
        <v>49.9</v>
      </c>
      <c r="I71" s="4" t="s">
        <v>20</v>
      </c>
    </row>
    <row r="72" spans="1:9" x14ac:dyDescent="0.25">
      <c r="A72" t="s">
        <v>23</v>
      </c>
      <c r="B72" t="s">
        <v>84</v>
      </c>
      <c r="C72" s="70" t="s">
        <v>22</v>
      </c>
      <c r="D72" s="70"/>
      <c r="E72" s="3">
        <f t="shared" si="1"/>
        <v>57</v>
      </c>
      <c r="F72" s="15">
        <v>54</v>
      </c>
      <c r="G72" s="15">
        <v>1.5</v>
      </c>
      <c r="H72" s="15">
        <f t="shared" si="0"/>
        <v>52.5</v>
      </c>
      <c r="I72" s="4" t="s">
        <v>20</v>
      </c>
    </row>
    <row r="73" spans="1:9" x14ac:dyDescent="0.25">
      <c r="A73" t="s">
        <v>23</v>
      </c>
      <c r="B73" t="s">
        <v>84</v>
      </c>
      <c r="C73" s="70" t="s">
        <v>22</v>
      </c>
      <c r="D73" s="70"/>
      <c r="E73" s="3">
        <f t="shared" si="1"/>
        <v>58</v>
      </c>
      <c r="F73" s="15">
        <v>52.6</v>
      </c>
      <c r="G73" s="15">
        <v>1.4</v>
      </c>
      <c r="H73" s="15">
        <f t="shared" si="0"/>
        <v>51.2</v>
      </c>
      <c r="I73" s="4" t="s">
        <v>20</v>
      </c>
    </row>
    <row r="74" spans="1:9" x14ac:dyDescent="0.25">
      <c r="A74" t="s">
        <v>23</v>
      </c>
      <c r="B74" t="s">
        <v>84</v>
      </c>
      <c r="C74" s="70" t="s">
        <v>22</v>
      </c>
      <c r="D74" s="70"/>
      <c r="E74" s="3">
        <f t="shared" si="1"/>
        <v>59</v>
      </c>
      <c r="F74" s="15">
        <v>46</v>
      </c>
      <c r="G74" s="15">
        <v>1.2</v>
      </c>
      <c r="H74" s="15">
        <f t="shared" si="0"/>
        <v>44.8</v>
      </c>
      <c r="I74" s="4" t="s">
        <v>20</v>
      </c>
    </row>
    <row r="75" spans="1:9" x14ac:dyDescent="0.25">
      <c r="A75" t="s">
        <v>23</v>
      </c>
      <c r="B75" t="s">
        <v>84</v>
      </c>
      <c r="C75" s="70" t="s">
        <v>22</v>
      </c>
      <c r="D75" s="70"/>
      <c r="E75" s="3">
        <f t="shared" si="1"/>
        <v>60</v>
      </c>
      <c r="F75" s="15">
        <v>42.9</v>
      </c>
      <c r="G75" s="15">
        <v>1.2</v>
      </c>
      <c r="H75" s="15">
        <f t="shared" si="0"/>
        <v>41.699999999999996</v>
      </c>
      <c r="I75" s="4" t="s">
        <v>20</v>
      </c>
    </row>
    <row r="76" spans="1:9" x14ac:dyDescent="0.25">
      <c r="A76" t="s">
        <v>23</v>
      </c>
      <c r="B76" t="s">
        <v>84</v>
      </c>
      <c r="C76" s="70" t="s">
        <v>22</v>
      </c>
      <c r="D76" s="70"/>
      <c r="E76" s="3">
        <f t="shared" si="1"/>
        <v>61</v>
      </c>
      <c r="F76" s="15">
        <v>54.6</v>
      </c>
      <c r="G76" s="15">
        <v>1</v>
      </c>
      <c r="H76" s="15">
        <f t="shared" si="0"/>
        <v>53.6</v>
      </c>
      <c r="I76" s="4" t="s">
        <v>20</v>
      </c>
    </row>
    <row r="77" spans="1:9" x14ac:dyDescent="0.25">
      <c r="A77" t="s">
        <v>23</v>
      </c>
      <c r="B77" t="s">
        <v>84</v>
      </c>
      <c r="C77" s="70" t="s">
        <v>22</v>
      </c>
      <c r="D77" s="70"/>
      <c r="E77" s="3">
        <f t="shared" si="1"/>
        <v>62</v>
      </c>
      <c r="F77" s="15">
        <v>55.6</v>
      </c>
      <c r="G77" s="15">
        <v>1.2</v>
      </c>
      <c r="H77" s="15">
        <f t="shared" si="0"/>
        <v>54.4</v>
      </c>
      <c r="I77" s="4" t="s">
        <v>20</v>
      </c>
    </row>
    <row r="78" spans="1:9" x14ac:dyDescent="0.25">
      <c r="A78" t="s">
        <v>23</v>
      </c>
      <c r="B78" t="s">
        <v>84</v>
      </c>
      <c r="C78" s="70" t="s">
        <v>22</v>
      </c>
      <c r="D78" s="70"/>
      <c r="E78" s="3">
        <f t="shared" si="1"/>
        <v>63</v>
      </c>
      <c r="F78" s="15">
        <v>42.4</v>
      </c>
      <c r="G78" s="15">
        <v>0.8</v>
      </c>
      <c r="H78" s="15">
        <f t="shared" si="0"/>
        <v>41.6</v>
      </c>
      <c r="I78" s="4" t="s">
        <v>20</v>
      </c>
    </row>
    <row r="79" spans="1:9" x14ac:dyDescent="0.25">
      <c r="A79" t="s">
        <v>23</v>
      </c>
      <c r="B79" t="s">
        <v>84</v>
      </c>
      <c r="C79" s="70" t="s">
        <v>22</v>
      </c>
      <c r="D79" s="70"/>
      <c r="E79" s="3">
        <f t="shared" si="1"/>
        <v>64</v>
      </c>
      <c r="F79" s="15">
        <v>45.5</v>
      </c>
      <c r="G79" s="15">
        <v>1.7</v>
      </c>
      <c r="H79" s="15">
        <f t="shared" si="0"/>
        <v>43.8</v>
      </c>
      <c r="I79" s="4" t="s">
        <v>20</v>
      </c>
    </row>
    <row r="80" spans="1:9" x14ac:dyDescent="0.25">
      <c r="A80" t="s">
        <v>23</v>
      </c>
      <c r="B80" t="s">
        <v>84</v>
      </c>
      <c r="C80" s="70" t="s">
        <v>22</v>
      </c>
      <c r="D80" s="70"/>
      <c r="E80" s="3">
        <f t="shared" si="1"/>
        <v>65</v>
      </c>
      <c r="F80" s="15">
        <v>47.5</v>
      </c>
      <c r="G80" s="15">
        <v>1.8</v>
      </c>
      <c r="H80" s="15">
        <f t="shared" si="0"/>
        <v>45.7</v>
      </c>
      <c r="I80" s="4" t="s">
        <v>20</v>
      </c>
    </row>
    <row r="81" spans="1:9" x14ac:dyDescent="0.25">
      <c r="A81" t="s">
        <v>23</v>
      </c>
      <c r="B81" t="s">
        <v>84</v>
      </c>
      <c r="C81" s="70" t="s">
        <v>22</v>
      </c>
      <c r="D81" s="70"/>
      <c r="E81" s="3">
        <f t="shared" si="1"/>
        <v>66</v>
      </c>
      <c r="F81" s="15">
        <v>53</v>
      </c>
      <c r="G81" s="15">
        <v>1.8</v>
      </c>
      <c r="H81" s="15">
        <f t="shared" ref="H81:H92" si="2">F81-G81</f>
        <v>51.2</v>
      </c>
      <c r="I81" s="4" t="s">
        <v>20</v>
      </c>
    </row>
    <row r="82" spans="1:9" x14ac:dyDescent="0.25">
      <c r="A82" t="s">
        <v>23</v>
      </c>
      <c r="B82" t="s">
        <v>84</v>
      </c>
      <c r="C82" s="70" t="s">
        <v>22</v>
      </c>
      <c r="D82" s="70"/>
      <c r="E82" s="3">
        <f t="shared" ref="E82:E92" si="3">E81+1</f>
        <v>67</v>
      </c>
      <c r="F82" s="15">
        <v>53</v>
      </c>
      <c r="G82" s="15">
        <v>1.2</v>
      </c>
      <c r="H82" s="15">
        <f t="shared" si="2"/>
        <v>51.8</v>
      </c>
      <c r="I82" s="4" t="s">
        <v>20</v>
      </c>
    </row>
    <row r="83" spans="1:9" x14ac:dyDescent="0.25">
      <c r="A83" t="s">
        <v>23</v>
      </c>
      <c r="B83" t="s">
        <v>84</v>
      </c>
      <c r="C83" s="70" t="s">
        <v>22</v>
      </c>
      <c r="D83" s="70"/>
      <c r="E83" s="3">
        <f t="shared" si="3"/>
        <v>68</v>
      </c>
      <c r="F83" s="15">
        <v>48.8</v>
      </c>
      <c r="G83" s="15">
        <v>1.2</v>
      </c>
      <c r="H83" s="15">
        <f t="shared" si="2"/>
        <v>47.599999999999994</v>
      </c>
      <c r="I83" s="4" t="s">
        <v>20</v>
      </c>
    </row>
    <row r="84" spans="1:9" x14ac:dyDescent="0.25">
      <c r="A84" t="s">
        <v>23</v>
      </c>
      <c r="B84" t="s">
        <v>84</v>
      </c>
      <c r="C84" s="70" t="s">
        <v>22</v>
      </c>
      <c r="D84" s="70"/>
      <c r="E84" s="3">
        <f t="shared" si="3"/>
        <v>69</v>
      </c>
      <c r="F84" s="15">
        <v>48</v>
      </c>
      <c r="G84" s="15">
        <v>1.6</v>
      </c>
      <c r="H84" s="15">
        <f t="shared" si="2"/>
        <v>46.4</v>
      </c>
      <c r="I84" s="4" t="s">
        <v>20</v>
      </c>
    </row>
    <row r="85" spans="1:9" x14ac:dyDescent="0.25">
      <c r="A85" t="s">
        <v>23</v>
      </c>
      <c r="B85" t="s">
        <v>84</v>
      </c>
      <c r="C85" s="70" t="s">
        <v>22</v>
      </c>
      <c r="D85" s="70"/>
      <c r="E85" s="3">
        <f t="shared" si="3"/>
        <v>70</v>
      </c>
      <c r="F85" s="15">
        <v>44</v>
      </c>
      <c r="G85" s="15">
        <v>0.7</v>
      </c>
      <c r="H85" s="15">
        <f t="shared" si="2"/>
        <v>43.3</v>
      </c>
      <c r="I85" s="4" t="s">
        <v>20</v>
      </c>
    </row>
    <row r="86" spans="1:9" x14ac:dyDescent="0.25">
      <c r="A86" t="s">
        <v>23</v>
      </c>
      <c r="B86" t="s">
        <v>84</v>
      </c>
      <c r="C86" s="70" t="s">
        <v>22</v>
      </c>
      <c r="D86" s="70"/>
      <c r="E86" s="3">
        <f t="shared" si="3"/>
        <v>71</v>
      </c>
      <c r="F86" s="15">
        <v>46</v>
      </c>
      <c r="G86" s="15">
        <v>1.7</v>
      </c>
      <c r="H86" s="15">
        <f t="shared" si="2"/>
        <v>44.3</v>
      </c>
      <c r="I86" s="4" t="s">
        <v>20</v>
      </c>
    </row>
    <row r="87" spans="1:9" x14ac:dyDescent="0.25">
      <c r="A87" t="s">
        <v>23</v>
      </c>
      <c r="B87" t="s">
        <v>84</v>
      </c>
      <c r="C87" s="70" t="s">
        <v>22</v>
      </c>
      <c r="D87" s="70"/>
      <c r="E87" s="3">
        <f t="shared" si="3"/>
        <v>72</v>
      </c>
      <c r="F87" s="15">
        <v>49.7</v>
      </c>
      <c r="G87" s="15">
        <v>1.5</v>
      </c>
      <c r="H87" s="15">
        <f t="shared" si="2"/>
        <v>48.2</v>
      </c>
      <c r="I87" s="4" t="s">
        <v>20</v>
      </c>
    </row>
    <row r="88" spans="1:9" x14ac:dyDescent="0.25">
      <c r="A88" t="s">
        <v>23</v>
      </c>
      <c r="B88" t="s">
        <v>84</v>
      </c>
      <c r="C88" s="70" t="s">
        <v>22</v>
      </c>
      <c r="D88" s="70"/>
      <c r="E88" s="3">
        <f t="shared" si="3"/>
        <v>73</v>
      </c>
      <c r="F88" s="15">
        <v>50.6</v>
      </c>
      <c r="G88" s="15">
        <v>1.1000000000000001</v>
      </c>
      <c r="H88" s="15">
        <f t="shared" si="2"/>
        <v>49.5</v>
      </c>
      <c r="I88" s="4" t="s">
        <v>20</v>
      </c>
    </row>
    <row r="89" spans="1:9" x14ac:dyDescent="0.25">
      <c r="A89" t="s">
        <v>23</v>
      </c>
      <c r="B89" t="s">
        <v>84</v>
      </c>
      <c r="C89" s="70" t="s">
        <v>22</v>
      </c>
      <c r="D89" s="70"/>
      <c r="E89" s="3">
        <f t="shared" si="3"/>
        <v>74</v>
      </c>
      <c r="F89" s="15">
        <v>49.2</v>
      </c>
      <c r="G89" s="15">
        <v>0.9</v>
      </c>
      <c r="H89" s="15">
        <f t="shared" si="2"/>
        <v>48.300000000000004</v>
      </c>
      <c r="I89" s="4" t="s">
        <v>20</v>
      </c>
    </row>
    <row r="90" spans="1:9" x14ac:dyDescent="0.25">
      <c r="A90" t="s">
        <v>23</v>
      </c>
      <c r="B90" t="s">
        <v>84</v>
      </c>
      <c r="C90" s="70" t="s">
        <v>22</v>
      </c>
      <c r="D90" s="70"/>
      <c r="E90" s="3">
        <f t="shared" si="3"/>
        <v>75</v>
      </c>
      <c r="F90" s="15">
        <v>50.3</v>
      </c>
      <c r="G90" s="15">
        <v>1.7</v>
      </c>
      <c r="H90" s="15">
        <f t="shared" si="2"/>
        <v>48.599999999999994</v>
      </c>
      <c r="I90" s="4" t="s">
        <v>20</v>
      </c>
    </row>
    <row r="91" spans="1:9" x14ac:dyDescent="0.25">
      <c r="A91" t="s">
        <v>23</v>
      </c>
      <c r="B91" t="s">
        <v>84</v>
      </c>
      <c r="C91" s="70" t="s">
        <v>22</v>
      </c>
      <c r="D91" s="70"/>
      <c r="E91" s="3">
        <f t="shared" si="3"/>
        <v>76</v>
      </c>
      <c r="F91" s="15">
        <v>50.8</v>
      </c>
      <c r="G91" s="15">
        <v>1.7</v>
      </c>
      <c r="H91" s="15">
        <f t="shared" si="2"/>
        <v>49.099999999999994</v>
      </c>
      <c r="I91" s="4" t="s">
        <v>20</v>
      </c>
    </row>
    <row r="92" spans="1:9" ht="15.75" thickBot="1" x14ac:dyDescent="0.3">
      <c r="A92" t="s">
        <v>23</v>
      </c>
      <c r="B92" t="s">
        <v>84</v>
      </c>
      <c r="C92" s="70" t="s">
        <v>22</v>
      </c>
      <c r="D92" s="70"/>
      <c r="E92" s="3">
        <f t="shared" si="3"/>
        <v>77</v>
      </c>
      <c r="F92" s="15">
        <v>50.6</v>
      </c>
      <c r="G92" s="15">
        <v>2.7</v>
      </c>
      <c r="H92" s="15">
        <f t="shared" si="2"/>
        <v>47.9</v>
      </c>
      <c r="I92" s="4" t="s">
        <v>20</v>
      </c>
    </row>
    <row r="93" spans="1:9" ht="16.5" thickTop="1" thickBot="1" x14ac:dyDescent="0.3">
      <c r="A93" s="75" t="s">
        <v>27</v>
      </c>
      <c r="B93" s="75"/>
      <c r="C93" s="75"/>
      <c r="D93" s="75"/>
      <c r="E93" s="12">
        <f>E92</f>
        <v>77</v>
      </c>
      <c r="F93" s="14">
        <f>SUM(F16:F92)</f>
        <v>3658.3999999999996</v>
      </c>
      <c r="G93" s="14">
        <f>SUM(G16:G92)</f>
        <v>113.90000000000003</v>
      </c>
      <c r="H93" s="14">
        <f>SUM(H16:H92)</f>
        <v>3544.5</v>
      </c>
      <c r="I93" s="13"/>
    </row>
    <row r="94" spans="1:9" ht="6.75" customHeight="1" thickTop="1" x14ac:dyDescent="0.25"/>
    <row r="95" spans="1:9" ht="15.75" thickBot="1" x14ac:dyDescent="0.3">
      <c r="A95" s="1" t="s">
        <v>29</v>
      </c>
    </row>
    <row r="96" spans="1:9" ht="30" customHeight="1" thickTop="1" thickBot="1" x14ac:dyDescent="0.3">
      <c r="A96" s="9" t="s">
        <v>7</v>
      </c>
      <c r="B96" s="9" t="s">
        <v>2</v>
      </c>
      <c r="C96" s="73" t="s">
        <v>6</v>
      </c>
      <c r="D96" s="73"/>
      <c r="E96" s="11" t="s">
        <v>30</v>
      </c>
      <c r="F96" s="11" t="s">
        <v>31</v>
      </c>
      <c r="G96" s="11" t="s">
        <v>32</v>
      </c>
      <c r="H96" s="11" t="s">
        <v>33</v>
      </c>
      <c r="I96" s="11" t="s">
        <v>37</v>
      </c>
    </row>
    <row r="97" spans="1:9" ht="16.5" thickTop="1" thickBot="1" x14ac:dyDescent="0.3">
      <c r="A97" t="s">
        <v>23</v>
      </c>
      <c r="B97" t="str">
        <f>B90</f>
        <v>REMBANG</v>
      </c>
      <c r="C97" s="76" t="s">
        <v>22</v>
      </c>
      <c r="D97" s="76"/>
      <c r="E97" s="15">
        <v>3122.9</v>
      </c>
      <c r="F97" s="15">
        <v>309.8</v>
      </c>
      <c r="G97" s="15">
        <v>95.2</v>
      </c>
      <c r="H97" s="15">
        <f>IF(E97="","",(H93-E97-F97-G97))</f>
        <v>16.599999999999895</v>
      </c>
      <c r="I97" s="15">
        <f>IF(E97="","",SUM(E97:H97))</f>
        <v>3544.5</v>
      </c>
    </row>
    <row r="98" spans="1:9" ht="16.5" thickTop="1" thickBot="1" x14ac:dyDescent="0.3">
      <c r="A98" s="77" t="s">
        <v>52</v>
      </c>
      <c r="B98" s="77"/>
      <c r="C98" s="77"/>
      <c r="D98" s="77"/>
      <c r="E98" s="20">
        <f>IF(E97="","",E97/$H93)</f>
        <v>0.88105515587529981</v>
      </c>
      <c r="F98" s="20">
        <f>IF(F97="","",F97/$H93)</f>
        <v>8.7403018761461421E-2</v>
      </c>
      <c r="G98" s="38">
        <f t="shared" ref="G98:H98" si="4">IF(G97="","",G97/$H93)</f>
        <v>2.6858513189448444E-2</v>
      </c>
      <c r="H98" s="20">
        <f t="shared" si="4"/>
        <v>4.6833121737903495E-3</v>
      </c>
      <c r="I98" s="17">
        <f>IF(I97="","",SUM(E98:H98))</f>
        <v>1</v>
      </c>
    </row>
    <row r="99" spans="1:9" ht="15.75" thickTop="1" x14ac:dyDescent="0.25">
      <c r="A99" s="19" t="s">
        <v>16</v>
      </c>
    </row>
    <row r="100" spans="1:9" ht="10.5" customHeight="1" x14ac:dyDescent="0.25">
      <c r="A100" s="7" t="s">
        <v>36</v>
      </c>
    </row>
    <row r="101" spans="1:9" ht="10.5" customHeight="1" x14ac:dyDescent="0.25">
      <c r="A101" s="7" t="s">
        <v>35</v>
      </c>
    </row>
    <row r="102" spans="1:9" ht="10.5" customHeight="1" x14ac:dyDescent="0.25">
      <c r="A102" s="7" t="s">
        <v>34</v>
      </c>
    </row>
    <row r="103" spans="1:9" ht="10.5" customHeight="1" x14ac:dyDescent="0.25">
      <c r="A103" s="7" t="s">
        <v>50</v>
      </c>
    </row>
    <row r="104" spans="1:9" ht="6" customHeight="1" x14ac:dyDescent="0.25"/>
  </sheetData>
  <mergeCells count="84">
    <mergeCell ref="A98:D98"/>
    <mergeCell ref="C91:D91"/>
    <mergeCell ref="C92:D92"/>
    <mergeCell ref="A93:D93"/>
    <mergeCell ref="C96:D96"/>
    <mergeCell ref="C97:D97"/>
    <mergeCell ref="C90:D90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78:D78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66:D66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54:D5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42:D42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18:D18"/>
    <mergeCell ref="A1:I1"/>
    <mergeCell ref="A13:I13"/>
    <mergeCell ref="C15:D15"/>
    <mergeCell ref="C16:D16"/>
    <mergeCell ref="C17:D17"/>
  </mergeCells>
  <pageMargins left="0" right="0" top="0" bottom="0" header="0" footer="0"/>
  <pageSetup paperSize="346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17BF-6CBF-4E9E-89FF-BE17849F1688}">
  <sheetPr>
    <tabColor rgb="FF00B050"/>
  </sheetPr>
  <dimension ref="A1:L38"/>
  <sheetViews>
    <sheetView showGridLines="0" workbookViewId="0">
      <selection activeCell="A6" sqref="A6:XFD7"/>
    </sheetView>
  </sheetViews>
  <sheetFormatPr defaultRowHeight="15" x14ac:dyDescent="0.25"/>
  <cols>
    <col min="1" max="1" width="12.5703125" customWidth="1"/>
    <col min="2" max="2" width="13.85546875" customWidth="1"/>
    <col min="3" max="4" width="9.710937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  <col min="11" max="11" width="9.5703125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46204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62</v>
      </c>
      <c r="C7" s="4">
        <v>11</v>
      </c>
      <c r="D7" s="4" t="s">
        <v>14</v>
      </c>
      <c r="E7" s="15">
        <v>1460.6</v>
      </c>
      <c r="F7" s="15">
        <f>G27</f>
        <v>169.49999999999997</v>
      </c>
      <c r="G7" s="15">
        <f>E7-F7</f>
        <v>1291.0999999999999</v>
      </c>
      <c r="H7" s="55">
        <v>46199</v>
      </c>
      <c r="I7" s="53" t="s">
        <v>20</v>
      </c>
      <c r="K7" s="27">
        <f>E7/11</f>
        <v>132.78181818181818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145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62</v>
      </c>
      <c r="C16" s="74" t="s">
        <v>14</v>
      </c>
      <c r="D16" s="74"/>
      <c r="E16" s="3">
        <v>1</v>
      </c>
      <c r="F16" s="15">
        <v>132.78181818181818</v>
      </c>
      <c r="G16" s="15">
        <v>15.4</v>
      </c>
      <c r="H16" s="15">
        <f>F16-G16</f>
        <v>117.38181818181818</v>
      </c>
      <c r="I16" s="4" t="s">
        <v>20</v>
      </c>
    </row>
    <row r="17" spans="1:9" x14ac:dyDescent="0.25">
      <c r="A17" t="s">
        <v>23</v>
      </c>
      <c r="B17" t="s">
        <v>62</v>
      </c>
      <c r="C17" s="70" t="s">
        <v>14</v>
      </c>
      <c r="D17" s="70"/>
      <c r="E17" s="3">
        <f>E16+1</f>
        <v>2</v>
      </c>
      <c r="F17" s="15">
        <v>132.78181818181818</v>
      </c>
      <c r="G17" s="15">
        <v>15.7</v>
      </c>
      <c r="H17" s="15">
        <f t="shared" ref="H17:H26" si="0">F17-G17</f>
        <v>117.08181818181818</v>
      </c>
      <c r="I17" s="4" t="s">
        <v>20</v>
      </c>
    </row>
    <row r="18" spans="1:9" x14ac:dyDescent="0.25">
      <c r="A18" t="s">
        <v>23</v>
      </c>
      <c r="B18" t="s">
        <v>62</v>
      </c>
      <c r="C18" s="70" t="s">
        <v>14</v>
      </c>
      <c r="D18" s="70"/>
      <c r="E18" s="3">
        <f t="shared" ref="E18:E26" si="1">E17+1</f>
        <v>3</v>
      </c>
      <c r="F18" s="15">
        <v>132.78181818181818</v>
      </c>
      <c r="G18" s="15">
        <v>15.5</v>
      </c>
      <c r="H18" s="15">
        <f t="shared" si="0"/>
        <v>117.28181818181818</v>
      </c>
      <c r="I18" s="4" t="s">
        <v>20</v>
      </c>
    </row>
    <row r="19" spans="1:9" x14ac:dyDescent="0.25">
      <c r="A19" t="s">
        <v>23</v>
      </c>
      <c r="B19" t="s">
        <v>62</v>
      </c>
      <c r="C19" s="70" t="s">
        <v>14</v>
      </c>
      <c r="D19" s="70"/>
      <c r="E19" s="3">
        <f t="shared" si="1"/>
        <v>4</v>
      </c>
      <c r="F19" s="15">
        <v>132.78181818181818</v>
      </c>
      <c r="G19" s="15">
        <v>15.3</v>
      </c>
      <c r="H19" s="15">
        <f t="shared" si="0"/>
        <v>117.48181818181818</v>
      </c>
      <c r="I19" s="4" t="s">
        <v>20</v>
      </c>
    </row>
    <row r="20" spans="1:9" x14ac:dyDescent="0.25">
      <c r="A20" t="s">
        <v>23</v>
      </c>
      <c r="B20" t="s">
        <v>62</v>
      </c>
      <c r="C20" s="70" t="s">
        <v>14</v>
      </c>
      <c r="D20" s="70"/>
      <c r="E20" s="3">
        <f t="shared" si="1"/>
        <v>5</v>
      </c>
      <c r="F20" s="15">
        <v>132.78181818181818</v>
      </c>
      <c r="G20" s="15">
        <v>14.7</v>
      </c>
      <c r="H20" s="15">
        <f t="shared" si="0"/>
        <v>118.08181818181818</v>
      </c>
      <c r="I20" s="4" t="s">
        <v>20</v>
      </c>
    </row>
    <row r="21" spans="1:9" x14ac:dyDescent="0.25">
      <c r="A21" t="s">
        <v>23</v>
      </c>
      <c r="B21" t="s">
        <v>62</v>
      </c>
      <c r="C21" s="70" t="s">
        <v>14</v>
      </c>
      <c r="D21" s="70"/>
      <c r="E21" s="3">
        <f t="shared" si="1"/>
        <v>6</v>
      </c>
      <c r="F21" s="15">
        <v>132.78181818181818</v>
      </c>
      <c r="G21" s="15">
        <v>15.8</v>
      </c>
      <c r="H21" s="15">
        <f t="shared" si="0"/>
        <v>116.98181818181818</v>
      </c>
      <c r="I21" s="4" t="s">
        <v>20</v>
      </c>
    </row>
    <row r="22" spans="1:9" x14ac:dyDescent="0.25">
      <c r="A22" t="s">
        <v>23</v>
      </c>
      <c r="B22" t="s">
        <v>62</v>
      </c>
      <c r="C22" s="70" t="s">
        <v>14</v>
      </c>
      <c r="D22" s="70"/>
      <c r="E22" s="3">
        <f t="shared" si="1"/>
        <v>7</v>
      </c>
      <c r="F22" s="15">
        <v>132.78181818181818</v>
      </c>
      <c r="G22" s="15">
        <v>15.5</v>
      </c>
      <c r="H22" s="15">
        <f t="shared" si="0"/>
        <v>117.28181818181818</v>
      </c>
      <c r="I22" s="4" t="s">
        <v>20</v>
      </c>
    </row>
    <row r="23" spans="1:9" x14ac:dyDescent="0.25">
      <c r="A23" t="s">
        <v>23</v>
      </c>
      <c r="B23" t="s">
        <v>62</v>
      </c>
      <c r="C23" s="70" t="s">
        <v>14</v>
      </c>
      <c r="D23" s="70"/>
      <c r="E23" s="3">
        <f t="shared" si="1"/>
        <v>8</v>
      </c>
      <c r="F23" s="15">
        <v>132.78181818181818</v>
      </c>
      <c r="G23" s="15">
        <v>15.3</v>
      </c>
      <c r="H23" s="15">
        <f t="shared" si="0"/>
        <v>117.48181818181818</v>
      </c>
      <c r="I23" s="4" t="s">
        <v>20</v>
      </c>
    </row>
    <row r="24" spans="1:9" x14ac:dyDescent="0.25">
      <c r="A24" t="s">
        <v>23</v>
      </c>
      <c r="B24" t="s">
        <v>62</v>
      </c>
      <c r="C24" s="70" t="s">
        <v>14</v>
      </c>
      <c r="D24" s="70"/>
      <c r="E24" s="3">
        <f t="shared" si="1"/>
        <v>9</v>
      </c>
      <c r="F24" s="15">
        <v>132.78181818181818</v>
      </c>
      <c r="G24" s="15">
        <v>14.5</v>
      </c>
      <c r="H24" s="15">
        <f t="shared" si="0"/>
        <v>118.28181818181818</v>
      </c>
      <c r="I24" s="4" t="s">
        <v>20</v>
      </c>
    </row>
    <row r="25" spans="1:9" x14ac:dyDescent="0.25">
      <c r="A25" t="s">
        <v>23</v>
      </c>
      <c r="B25" t="s">
        <v>62</v>
      </c>
      <c r="C25" s="70" t="s">
        <v>14</v>
      </c>
      <c r="D25" s="70"/>
      <c r="E25" s="3">
        <f t="shared" si="1"/>
        <v>10</v>
      </c>
      <c r="F25" s="15">
        <v>132.78181818181818</v>
      </c>
      <c r="G25" s="15">
        <v>15.2</v>
      </c>
      <c r="H25" s="15">
        <f t="shared" si="0"/>
        <v>117.58181818181818</v>
      </c>
      <c r="I25" s="4" t="s">
        <v>20</v>
      </c>
    </row>
    <row r="26" spans="1:9" ht="15.75" thickBot="1" x14ac:dyDescent="0.3">
      <c r="A26" t="s">
        <v>23</v>
      </c>
      <c r="B26" t="s">
        <v>62</v>
      </c>
      <c r="C26" s="70" t="s">
        <v>14</v>
      </c>
      <c r="D26" s="70"/>
      <c r="E26" s="3">
        <f t="shared" si="1"/>
        <v>11</v>
      </c>
      <c r="F26" s="15">
        <v>132.78181818181818</v>
      </c>
      <c r="G26" s="15">
        <v>16.600000000000001</v>
      </c>
      <c r="H26" s="15">
        <f t="shared" si="0"/>
        <v>116.18181818181819</v>
      </c>
      <c r="I26" s="4" t="s">
        <v>20</v>
      </c>
    </row>
    <row r="27" spans="1:9" ht="16.5" thickTop="1" thickBot="1" x14ac:dyDescent="0.3">
      <c r="A27" s="75" t="s">
        <v>27</v>
      </c>
      <c r="B27" s="75"/>
      <c r="C27" s="75"/>
      <c r="D27" s="75"/>
      <c r="E27" s="12">
        <f>E26</f>
        <v>11</v>
      </c>
      <c r="F27" s="14">
        <f>SUM(F16:F26)</f>
        <v>1460.6</v>
      </c>
      <c r="G27" s="14">
        <f>SUM(G16:G26)</f>
        <v>169.49999999999997</v>
      </c>
      <c r="H27" s="14">
        <f>SUM(H16:H26)</f>
        <v>1291.1000000000001</v>
      </c>
      <c r="I27" s="13"/>
    </row>
    <row r="28" spans="1:9" ht="6.75" customHeight="1" thickTop="1" x14ac:dyDescent="0.25"/>
    <row r="29" spans="1:9" ht="15.75" thickBot="1" x14ac:dyDescent="0.3">
      <c r="A29" s="1" t="s">
        <v>29</v>
      </c>
    </row>
    <row r="30" spans="1:9" ht="30" customHeight="1" thickTop="1" thickBot="1" x14ac:dyDescent="0.3">
      <c r="A30" s="9" t="s">
        <v>7</v>
      </c>
      <c r="B30" s="9" t="s">
        <v>2</v>
      </c>
      <c r="C30" s="73" t="s">
        <v>6</v>
      </c>
      <c r="D30" s="73"/>
      <c r="E30" s="11" t="s">
        <v>30</v>
      </c>
      <c r="F30" s="11" t="s">
        <v>31</v>
      </c>
      <c r="G30" s="11" t="s">
        <v>32</v>
      </c>
      <c r="H30" s="11" t="s">
        <v>33</v>
      </c>
      <c r="I30" s="11" t="s">
        <v>37</v>
      </c>
    </row>
    <row r="31" spans="1:9" ht="16.5" thickTop="1" thickBot="1" x14ac:dyDescent="0.3">
      <c r="A31" t="s">
        <v>23</v>
      </c>
      <c r="B31" t="str">
        <f>B24</f>
        <v>TEMANGGUNG</v>
      </c>
      <c r="C31" s="76" t="str">
        <f>C24</f>
        <v>C48</v>
      </c>
      <c r="D31" s="76"/>
      <c r="E31" s="15">
        <v>731.6</v>
      </c>
      <c r="F31" s="15">
        <v>519.9</v>
      </c>
      <c r="G31" s="15">
        <v>23.9</v>
      </c>
      <c r="H31" s="15">
        <f>IF(E31="","",(H27-E31-F31-G31))</f>
        <v>15.700000000000138</v>
      </c>
      <c r="I31" s="15">
        <f>IF(E31="","",SUM(E31:H31))</f>
        <v>1291.1000000000001</v>
      </c>
    </row>
    <row r="32" spans="1:9" ht="16.5" thickTop="1" thickBot="1" x14ac:dyDescent="0.3">
      <c r="A32" s="77" t="s">
        <v>52</v>
      </c>
      <c r="B32" s="77"/>
      <c r="C32" s="77"/>
      <c r="D32" s="77"/>
      <c r="E32" s="20">
        <f>IF(E31="","",E31/$H27)</f>
        <v>0.56664859422198122</v>
      </c>
      <c r="F32" s="32">
        <f>IF(F31="","",F31/$H27)</f>
        <v>0.40267988536906507</v>
      </c>
      <c r="G32" s="32">
        <f t="shared" ref="G32:H32" si="2">IF(G31="","",G31/$H27)</f>
        <v>1.8511346913484623E-2</v>
      </c>
      <c r="H32" s="32">
        <f t="shared" si="2"/>
        <v>1.2160173495469086E-2</v>
      </c>
      <c r="I32" s="17">
        <f>IF(I31="","",SUM(E32:H32))</f>
        <v>1</v>
      </c>
    </row>
    <row r="33" spans="1:1" ht="15.75" thickTop="1" x14ac:dyDescent="0.25">
      <c r="A33" s="19" t="s">
        <v>16</v>
      </c>
    </row>
    <row r="34" spans="1:1" ht="10.5" customHeight="1" x14ac:dyDescent="0.25">
      <c r="A34" s="7" t="s">
        <v>48</v>
      </c>
    </row>
    <row r="35" spans="1:1" ht="10.5" customHeight="1" x14ac:dyDescent="0.25">
      <c r="A35" s="7" t="s">
        <v>35</v>
      </c>
    </row>
    <row r="36" spans="1:1" ht="10.5" customHeight="1" x14ac:dyDescent="0.25">
      <c r="A36" s="7" t="s">
        <v>34</v>
      </c>
    </row>
    <row r="37" spans="1:1" ht="10.5" customHeight="1" x14ac:dyDescent="0.25">
      <c r="A37" s="7" t="s">
        <v>50</v>
      </c>
    </row>
    <row r="38" spans="1:1" ht="6" customHeight="1" x14ac:dyDescent="0.25"/>
  </sheetData>
  <mergeCells count="18">
    <mergeCell ref="C18:D18"/>
    <mergeCell ref="A1:I1"/>
    <mergeCell ref="A13:I13"/>
    <mergeCell ref="C15:D15"/>
    <mergeCell ref="C16:D16"/>
    <mergeCell ref="C17:D17"/>
    <mergeCell ref="A32:D32"/>
    <mergeCell ref="A27:D27"/>
    <mergeCell ref="C30:D30"/>
    <mergeCell ref="C31:D31"/>
    <mergeCell ref="C19:D19"/>
    <mergeCell ref="C20:D20"/>
    <mergeCell ref="C21:D21"/>
    <mergeCell ref="C22:D22"/>
    <mergeCell ref="C23:D23"/>
    <mergeCell ref="C24:D24"/>
    <mergeCell ref="C25:D25"/>
    <mergeCell ref="C26:D26"/>
  </mergeCells>
  <phoneticPr fontId="7" type="noConversion"/>
  <pageMargins left="0" right="0" top="0" bottom="0" header="0" footer="0"/>
  <pageSetup paperSize="346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471F-4DD0-4B1E-9A5E-E3621A16A3AE}">
  <sheetPr>
    <tabColor rgb="FF00B050"/>
  </sheetPr>
  <dimension ref="A1:L39"/>
  <sheetViews>
    <sheetView showGridLines="0" workbookViewId="0">
      <selection activeCell="A6" sqref="A6:XFD7"/>
    </sheetView>
  </sheetViews>
  <sheetFormatPr defaultRowHeight="15" x14ac:dyDescent="0.25"/>
  <cols>
    <col min="1" max="1" width="12.28515625" customWidth="1"/>
    <col min="2" max="2" width="13.7109375" customWidth="1"/>
    <col min="3" max="3" width="9.7109375" customWidth="1"/>
    <col min="4" max="4" width="10.5703125" bestFit="1" customWidth="1"/>
    <col min="5" max="5" width="10.140625" style="3" customWidth="1"/>
    <col min="6" max="6" width="9.42578125" customWidth="1"/>
    <col min="7" max="7" width="10.42578125" customWidth="1"/>
    <col min="8" max="8" width="14.5703125" customWidth="1"/>
    <col min="9" max="9" width="13.42578125" customWidth="1"/>
    <col min="11" max="11" width="9.5703125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46212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62</v>
      </c>
      <c r="C7" s="4">
        <v>12</v>
      </c>
      <c r="D7" s="4" t="s">
        <v>14</v>
      </c>
      <c r="E7" s="15">
        <v>1592</v>
      </c>
      <c r="F7" s="15">
        <f>G28</f>
        <v>155.79999999999998</v>
      </c>
      <c r="G7" s="15">
        <f>E7-F7</f>
        <v>1436.2</v>
      </c>
      <c r="H7" s="6">
        <v>46202</v>
      </c>
      <c r="I7" s="53" t="s">
        <v>146</v>
      </c>
      <c r="K7" s="27">
        <f>E7/12</f>
        <v>132.66666666666666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145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62</v>
      </c>
      <c r="C16" s="74" t="s">
        <v>14</v>
      </c>
      <c r="D16" s="74"/>
      <c r="E16" s="3">
        <v>1</v>
      </c>
      <c r="F16" s="15">
        <f>K7</f>
        <v>132.66666666666666</v>
      </c>
      <c r="G16" s="15">
        <v>12</v>
      </c>
      <c r="H16" s="15">
        <f>F16-G16</f>
        <v>120.66666666666666</v>
      </c>
      <c r="I16" s="4" t="s">
        <v>20</v>
      </c>
    </row>
    <row r="17" spans="1:9" x14ac:dyDescent="0.25">
      <c r="A17" t="s">
        <v>23</v>
      </c>
      <c r="B17" t="s">
        <v>62</v>
      </c>
      <c r="C17" s="70" t="s">
        <v>14</v>
      </c>
      <c r="D17" s="70"/>
      <c r="E17" s="3">
        <f>E16+1</f>
        <v>2</v>
      </c>
      <c r="F17" s="15">
        <f>F16</f>
        <v>132.66666666666666</v>
      </c>
      <c r="G17" s="15">
        <v>13.5</v>
      </c>
      <c r="H17" s="15">
        <f t="shared" ref="H17:H27" si="0">F17-G17</f>
        <v>119.16666666666666</v>
      </c>
      <c r="I17" s="4" t="s">
        <v>20</v>
      </c>
    </row>
    <row r="18" spans="1:9" x14ac:dyDescent="0.25">
      <c r="A18" t="s">
        <v>23</v>
      </c>
      <c r="B18" t="s">
        <v>62</v>
      </c>
      <c r="C18" s="70" t="s">
        <v>14</v>
      </c>
      <c r="D18" s="70"/>
      <c r="E18" s="3">
        <f t="shared" ref="E18:E27" si="1">E17+1</f>
        <v>3</v>
      </c>
      <c r="F18" s="15">
        <f t="shared" ref="F18:F25" si="2">F17</f>
        <v>132.66666666666666</v>
      </c>
      <c r="G18" s="15">
        <v>12.7</v>
      </c>
      <c r="H18" s="15">
        <f t="shared" si="0"/>
        <v>119.96666666666665</v>
      </c>
      <c r="I18" s="4" t="s">
        <v>20</v>
      </c>
    </row>
    <row r="19" spans="1:9" x14ac:dyDescent="0.25">
      <c r="A19" t="s">
        <v>23</v>
      </c>
      <c r="B19" t="s">
        <v>62</v>
      </c>
      <c r="C19" s="70" t="s">
        <v>14</v>
      </c>
      <c r="D19" s="70"/>
      <c r="E19" s="3">
        <f t="shared" si="1"/>
        <v>4</v>
      </c>
      <c r="F19" s="15">
        <f t="shared" si="2"/>
        <v>132.66666666666666</v>
      </c>
      <c r="G19" s="15">
        <v>12.4</v>
      </c>
      <c r="H19" s="15">
        <f t="shared" si="0"/>
        <v>120.26666666666665</v>
      </c>
      <c r="I19" s="4" t="s">
        <v>20</v>
      </c>
    </row>
    <row r="20" spans="1:9" x14ac:dyDescent="0.25">
      <c r="A20" t="s">
        <v>23</v>
      </c>
      <c r="B20" t="s">
        <v>62</v>
      </c>
      <c r="C20" s="70" t="s">
        <v>14</v>
      </c>
      <c r="D20" s="70"/>
      <c r="E20" s="3">
        <f t="shared" si="1"/>
        <v>5</v>
      </c>
      <c r="F20" s="15">
        <f t="shared" si="2"/>
        <v>132.66666666666666</v>
      </c>
      <c r="G20" s="15">
        <v>15.3</v>
      </c>
      <c r="H20" s="15">
        <f t="shared" si="0"/>
        <v>117.36666666666666</v>
      </c>
      <c r="I20" s="4" t="s">
        <v>20</v>
      </c>
    </row>
    <row r="21" spans="1:9" x14ac:dyDescent="0.25">
      <c r="A21" t="s">
        <v>23</v>
      </c>
      <c r="B21" t="s">
        <v>62</v>
      </c>
      <c r="C21" s="70" t="s">
        <v>14</v>
      </c>
      <c r="D21" s="70"/>
      <c r="E21" s="3">
        <f t="shared" si="1"/>
        <v>6</v>
      </c>
      <c r="F21" s="15">
        <f t="shared" si="2"/>
        <v>132.66666666666666</v>
      </c>
      <c r="G21" s="15">
        <v>12.6</v>
      </c>
      <c r="H21" s="15">
        <f t="shared" si="0"/>
        <v>120.06666666666666</v>
      </c>
      <c r="I21" s="4" t="s">
        <v>20</v>
      </c>
    </row>
    <row r="22" spans="1:9" x14ac:dyDescent="0.25">
      <c r="A22" t="s">
        <v>23</v>
      </c>
      <c r="B22" t="s">
        <v>62</v>
      </c>
      <c r="C22" s="70" t="s">
        <v>14</v>
      </c>
      <c r="D22" s="70"/>
      <c r="E22" s="3">
        <f t="shared" si="1"/>
        <v>7</v>
      </c>
      <c r="F22" s="15">
        <f t="shared" si="2"/>
        <v>132.66666666666666</v>
      </c>
      <c r="G22" s="15">
        <v>13</v>
      </c>
      <c r="H22" s="15">
        <f t="shared" si="0"/>
        <v>119.66666666666666</v>
      </c>
      <c r="I22" s="4" t="s">
        <v>20</v>
      </c>
    </row>
    <row r="23" spans="1:9" x14ac:dyDescent="0.25">
      <c r="A23" t="s">
        <v>23</v>
      </c>
      <c r="B23" t="s">
        <v>62</v>
      </c>
      <c r="C23" s="70" t="s">
        <v>14</v>
      </c>
      <c r="D23" s="70"/>
      <c r="E23" s="3">
        <f t="shared" si="1"/>
        <v>8</v>
      </c>
      <c r="F23" s="15">
        <f t="shared" si="2"/>
        <v>132.66666666666666</v>
      </c>
      <c r="G23" s="15">
        <v>12.8</v>
      </c>
      <c r="H23" s="15">
        <f t="shared" si="0"/>
        <v>119.86666666666666</v>
      </c>
      <c r="I23" s="4" t="s">
        <v>20</v>
      </c>
    </row>
    <row r="24" spans="1:9" x14ac:dyDescent="0.25">
      <c r="A24" t="s">
        <v>23</v>
      </c>
      <c r="B24" t="s">
        <v>62</v>
      </c>
      <c r="C24" s="70" t="s">
        <v>14</v>
      </c>
      <c r="D24" s="70"/>
      <c r="E24" s="3">
        <f t="shared" si="1"/>
        <v>9</v>
      </c>
      <c r="F24" s="15">
        <f t="shared" si="2"/>
        <v>132.66666666666666</v>
      </c>
      <c r="G24" s="15">
        <v>13.1</v>
      </c>
      <c r="H24" s="15">
        <f t="shared" si="0"/>
        <v>119.56666666666666</v>
      </c>
      <c r="I24" s="4" t="s">
        <v>20</v>
      </c>
    </row>
    <row r="25" spans="1:9" x14ac:dyDescent="0.25">
      <c r="A25" t="s">
        <v>23</v>
      </c>
      <c r="B25" t="s">
        <v>62</v>
      </c>
      <c r="C25" s="70" t="s">
        <v>14</v>
      </c>
      <c r="D25" s="70"/>
      <c r="E25" s="3">
        <f t="shared" si="1"/>
        <v>10</v>
      </c>
      <c r="F25" s="15">
        <f t="shared" si="2"/>
        <v>132.66666666666666</v>
      </c>
      <c r="G25" s="15">
        <v>12</v>
      </c>
      <c r="H25" s="15">
        <f t="shared" si="0"/>
        <v>120.66666666666666</v>
      </c>
      <c r="I25" s="4" t="s">
        <v>20</v>
      </c>
    </row>
    <row r="26" spans="1:9" x14ac:dyDescent="0.25">
      <c r="A26" t="s">
        <v>23</v>
      </c>
      <c r="B26" t="s">
        <v>62</v>
      </c>
      <c r="C26" s="70" t="s">
        <v>14</v>
      </c>
      <c r="D26" s="70"/>
      <c r="E26" s="3">
        <f t="shared" si="1"/>
        <v>11</v>
      </c>
      <c r="F26" s="15">
        <f>F24</f>
        <v>132.66666666666666</v>
      </c>
      <c r="G26" s="15">
        <v>12.4</v>
      </c>
      <c r="H26" s="15">
        <f t="shared" ref="H26" si="3">F26-G26</f>
        <v>120.26666666666665</v>
      </c>
      <c r="I26" s="4" t="s">
        <v>20</v>
      </c>
    </row>
    <row r="27" spans="1:9" ht="15.75" thickBot="1" x14ac:dyDescent="0.3">
      <c r="A27" t="s">
        <v>23</v>
      </c>
      <c r="B27" t="s">
        <v>62</v>
      </c>
      <c r="C27" s="70" t="s">
        <v>14</v>
      </c>
      <c r="D27" s="70"/>
      <c r="E27" s="3">
        <f t="shared" si="1"/>
        <v>12</v>
      </c>
      <c r="F27" s="15">
        <f>F25</f>
        <v>132.66666666666666</v>
      </c>
      <c r="G27" s="15">
        <v>14</v>
      </c>
      <c r="H27" s="15">
        <f t="shared" si="0"/>
        <v>118.66666666666666</v>
      </c>
      <c r="I27" s="4" t="s">
        <v>20</v>
      </c>
    </row>
    <row r="28" spans="1:9" ht="16.5" thickTop="1" thickBot="1" x14ac:dyDescent="0.3">
      <c r="A28" s="75" t="s">
        <v>27</v>
      </c>
      <c r="B28" s="75"/>
      <c r="C28" s="75"/>
      <c r="D28" s="75"/>
      <c r="E28" s="12">
        <f>E27</f>
        <v>12</v>
      </c>
      <c r="F28" s="14">
        <f>SUM(F16:F27)</f>
        <v>1592.0000000000002</v>
      </c>
      <c r="G28" s="14">
        <f>SUM(G16:G27)</f>
        <v>155.79999999999998</v>
      </c>
      <c r="H28" s="14">
        <f>SUM(H16:H27)</f>
        <v>1436.2</v>
      </c>
      <c r="I28" s="13"/>
    </row>
    <row r="29" spans="1:9" ht="6.75" customHeight="1" thickTop="1" x14ac:dyDescent="0.25"/>
    <row r="30" spans="1:9" ht="15.75" thickBot="1" x14ac:dyDescent="0.3">
      <c r="A30" s="1" t="s">
        <v>29</v>
      </c>
    </row>
    <row r="31" spans="1:9" ht="30" customHeight="1" thickTop="1" thickBot="1" x14ac:dyDescent="0.3">
      <c r="A31" s="9" t="s">
        <v>7</v>
      </c>
      <c r="B31" s="9" t="s">
        <v>2</v>
      </c>
      <c r="C31" s="73" t="s">
        <v>6</v>
      </c>
      <c r="D31" s="73"/>
      <c r="E31" s="11" t="s">
        <v>30</v>
      </c>
      <c r="F31" s="11" t="s">
        <v>31</v>
      </c>
      <c r="G31" s="11" t="s">
        <v>32</v>
      </c>
      <c r="H31" s="11" t="s">
        <v>33</v>
      </c>
      <c r="I31" s="11" t="s">
        <v>37</v>
      </c>
    </row>
    <row r="32" spans="1:9" ht="16.5" thickTop="1" thickBot="1" x14ac:dyDescent="0.3">
      <c r="A32" t="s">
        <v>23</v>
      </c>
      <c r="B32" t="str">
        <f>B24</f>
        <v>TEMANGGUNG</v>
      </c>
      <c r="C32" s="76" t="str">
        <f>C24</f>
        <v>C48</v>
      </c>
      <c r="D32" s="76"/>
      <c r="E32" s="15">
        <v>827</v>
      </c>
      <c r="F32" s="15">
        <v>561.29999999999995</v>
      </c>
      <c r="G32" s="15">
        <v>25.9</v>
      </c>
      <c r="H32" s="15">
        <f>IF(E32="","",(H28-E32-F32-G32))</f>
        <v>22.000000000000092</v>
      </c>
      <c r="I32" s="15">
        <f>IF(E32="","",SUM(E32:H32))</f>
        <v>1436.2</v>
      </c>
    </row>
    <row r="33" spans="1:9" ht="16.5" thickTop="1" thickBot="1" x14ac:dyDescent="0.3">
      <c r="A33" s="77" t="s">
        <v>52</v>
      </c>
      <c r="B33" s="77"/>
      <c r="C33" s="77"/>
      <c r="D33" s="77"/>
      <c r="E33" s="20">
        <f>IF(E32="","",E32/$H28)</f>
        <v>0.57582509399805037</v>
      </c>
      <c r="F33" s="32">
        <f>IF(F32="","",F32/$H28)</f>
        <v>0.39082300515248569</v>
      </c>
      <c r="G33" s="32">
        <f t="shared" ref="G33:H33" si="4">IF(G32="","",G32/$H28)</f>
        <v>1.8033700041776908E-2</v>
      </c>
      <c r="H33" s="32">
        <f t="shared" si="4"/>
        <v>1.5318200807687015E-2</v>
      </c>
      <c r="I33" s="17">
        <f>IF(I32="","",SUM(E33:H33))</f>
        <v>1</v>
      </c>
    </row>
    <row r="34" spans="1:9" ht="15.75" thickTop="1" x14ac:dyDescent="0.25">
      <c r="A34" s="19" t="s">
        <v>16</v>
      </c>
    </row>
    <row r="35" spans="1:9" ht="10.5" customHeight="1" x14ac:dyDescent="0.25">
      <c r="A35" s="7" t="s">
        <v>48</v>
      </c>
    </row>
    <row r="36" spans="1:9" ht="10.5" customHeight="1" x14ac:dyDescent="0.25">
      <c r="A36" s="7" t="s">
        <v>35</v>
      </c>
    </row>
    <row r="37" spans="1:9" ht="10.5" customHeight="1" x14ac:dyDescent="0.25">
      <c r="A37" s="7" t="s">
        <v>34</v>
      </c>
    </row>
    <row r="38" spans="1:9" ht="10.5" customHeight="1" x14ac:dyDescent="0.25">
      <c r="A38" s="7" t="s">
        <v>50</v>
      </c>
    </row>
    <row r="39" spans="1:9" ht="6" customHeight="1" x14ac:dyDescent="0.25"/>
  </sheetData>
  <mergeCells count="19">
    <mergeCell ref="C18:D18"/>
    <mergeCell ref="A1:I1"/>
    <mergeCell ref="A13:I13"/>
    <mergeCell ref="C15:D15"/>
    <mergeCell ref="C16:D16"/>
    <mergeCell ref="C17:D17"/>
    <mergeCell ref="A33:D33"/>
    <mergeCell ref="C19:D19"/>
    <mergeCell ref="C20:D20"/>
    <mergeCell ref="C21:D21"/>
    <mergeCell ref="C22:D22"/>
    <mergeCell ref="C23:D23"/>
    <mergeCell ref="C24:D24"/>
    <mergeCell ref="C25:D25"/>
    <mergeCell ref="C27:D27"/>
    <mergeCell ref="A28:D28"/>
    <mergeCell ref="C31:D31"/>
    <mergeCell ref="C32:D32"/>
    <mergeCell ref="C26:D26"/>
  </mergeCells>
  <pageMargins left="0" right="0" top="0" bottom="0" header="0" footer="0"/>
  <pageSetup paperSize="346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4ABA-815E-4735-B1AB-F992B2CA4D84}">
  <sheetPr>
    <tabColor rgb="FF00B050"/>
  </sheetPr>
  <dimension ref="A1:L61"/>
  <sheetViews>
    <sheetView showGridLines="0" workbookViewId="0">
      <selection activeCell="A6" sqref="A6:XFD7"/>
    </sheetView>
  </sheetViews>
  <sheetFormatPr defaultRowHeight="15" x14ac:dyDescent="0.25"/>
  <cols>
    <col min="1" max="1" width="11.7109375" customWidth="1"/>
    <col min="2" max="2" width="12.7109375" customWidth="1"/>
    <col min="3" max="3" width="9.7109375" customWidth="1"/>
    <col min="4" max="4" width="10.5703125" bestFit="1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  <col min="11" max="11" width="9.5703125" hidden="1" customWidth="1"/>
    <col min="12" max="13" width="0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46212</v>
      </c>
    </row>
    <row r="5" spans="1:12" ht="3.7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84</v>
      </c>
      <c r="C7" s="4">
        <v>33</v>
      </c>
      <c r="D7" s="4" t="s">
        <v>22</v>
      </c>
      <c r="E7" s="15">
        <v>1542.7</v>
      </c>
      <c r="F7" s="15">
        <f>G50</f>
        <v>41.500000000000007</v>
      </c>
      <c r="G7" s="15">
        <f>E7-F7</f>
        <v>1501.2</v>
      </c>
      <c r="H7" s="6">
        <v>46206</v>
      </c>
      <c r="I7" s="53" t="s">
        <v>147</v>
      </c>
      <c r="K7" s="27">
        <f>E7/11</f>
        <v>140.24545454545455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144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84</v>
      </c>
      <c r="C16" s="74" t="s">
        <v>22</v>
      </c>
      <c r="D16" s="74"/>
      <c r="E16" s="3">
        <v>1</v>
      </c>
      <c r="F16" s="15">
        <v>42.4</v>
      </c>
      <c r="G16" s="15">
        <v>1.7</v>
      </c>
      <c r="H16" s="15">
        <f>F16-G16</f>
        <v>40.699999999999996</v>
      </c>
      <c r="I16" s="4" t="s">
        <v>20</v>
      </c>
    </row>
    <row r="17" spans="1:9" x14ac:dyDescent="0.25">
      <c r="A17" t="s">
        <v>23</v>
      </c>
      <c r="B17" t="s">
        <v>84</v>
      </c>
      <c r="C17" s="70" t="s">
        <v>22</v>
      </c>
      <c r="D17" s="70"/>
      <c r="E17" s="3">
        <f>E16+1</f>
        <v>2</v>
      </c>
      <c r="F17" s="15">
        <v>37</v>
      </c>
      <c r="G17" s="15">
        <v>1.5</v>
      </c>
      <c r="H17" s="15">
        <f t="shared" ref="H17:H36" si="0">F17-G17</f>
        <v>35.5</v>
      </c>
      <c r="I17" s="4" t="s">
        <v>20</v>
      </c>
    </row>
    <row r="18" spans="1:9" x14ac:dyDescent="0.25">
      <c r="A18" t="s">
        <v>23</v>
      </c>
      <c r="B18" t="s">
        <v>84</v>
      </c>
      <c r="C18" s="70" t="s">
        <v>22</v>
      </c>
      <c r="D18" s="70"/>
      <c r="E18" s="3">
        <f t="shared" ref="E18:E49" si="1">E17+1</f>
        <v>3</v>
      </c>
      <c r="F18" s="15">
        <v>44</v>
      </c>
      <c r="G18" s="15">
        <v>1.4</v>
      </c>
      <c r="H18" s="15">
        <f t="shared" si="0"/>
        <v>42.6</v>
      </c>
      <c r="I18" s="4" t="s">
        <v>20</v>
      </c>
    </row>
    <row r="19" spans="1:9" x14ac:dyDescent="0.25">
      <c r="A19" t="s">
        <v>23</v>
      </c>
      <c r="B19" t="s">
        <v>84</v>
      </c>
      <c r="C19" s="70" t="s">
        <v>22</v>
      </c>
      <c r="D19" s="70"/>
      <c r="E19" s="3">
        <f t="shared" si="1"/>
        <v>4</v>
      </c>
      <c r="F19" s="15">
        <v>42.1</v>
      </c>
      <c r="G19" s="15">
        <v>1.5</v>
      </c>
      <c r="H19" s="15">
        <f t="shared" si="0"/>
        <v>40.6</v>
      </c>
      <c r="I19" s="4" t="s">
        <v>20</v>
      </c>
    </row>
    <row r="20" spans="1:9" x14ac:dyDescent="0.25">
      <c r="A20" t="s">
        <v>23</v>
      </c>
      <c r="B20" t="s">
        <v>84</v>
      </c>
      <c r="C20" s="70" t="s">
        <v>22</v>
      </c>
      <c r="D20" s="70"/>
      <c r="E20" s="3">
        <f t="shared" si="1"/>
        <v>5</v>
      </c>
      <c r="F20" s="15">
        <v>47.9</v>
      </c>
      <c r="G20" s="15">
        <v>1.7</v>
      </c>
      <c r="H20" s="15">
        <f t="shared" si="0"/>
        <v>46.199999999999996</v>
      </c>
      <c r="I20" s="4" t="s">
        <v>20</v>
      </c>
    </row>
    <row r="21" spans="1:9" x14ac:dyDescent="0.25">
      <c r="A21" t="s">
        <v>23</v>
      </c>
      <c r="B21" t="s">
        <v>84</v>
      </c>
      <c r="C21" s="70" t="s">
        <v>22</v>
      </c>
      <c r="D21" s="70"/>
      <c r="E21" s="3">
        <f t="shared" si="1"/>
        <v>6</v>
      </c>
      <c r="F21" s="15">
        <v>43.7</v>
      </c>
      <c r="G21" s="15">
        <v>1.1000000000000001</v>
      </c>
      <c r="H21" s="15">
        <f t="shared" si="0"/>
        <v>42.6</v>
      </c>
      <c r="I21" s="4" t="s">
        <v>20</v>
      </c>
    </row>
    <row r="22" spans="1:9" x14ac:dyDescent="0.25">
      <c r="A22" t="s">
        <v>23</v>
      </c>
      <c r="B22" t="s">
        <v>84</v>
      </c>
      <c r="C22" s="70" t="s">
        <v>22</v>
      </c>
      <c r="D22" s="70"/>
      <c r="E22" s="3">
        <f t="shared" si="1"/>
        <v>7</v>
      </c>
      <c r="F22" s="15">
        <v>43</v>
      </c>
      <c r="G22" s="15">
        <v>1.1000000000000001</v>
      </c>
      <c r="H22" s="15">
        <f t="shared" si="0"/>
        <v>41.9</v>
      </c>
      <c r="I22" s="4" t="s">
        <v>20</v>
      </c>
    </row>
    <row r="23" spans="1:9" x14ac:dyDescent="0.25">
      <c r="A23" t="s">
        <v>23</v>
      </c>
      <c r="B23" t="s">
        <v>84</v>
      </c>
      <c r="C23" s="70" t="s">
        <v>22</v>
      </c>
      <c r="D23" s="70"/>
      <c r="E23" s="3">
        <f t="shared" si="1"/>
        <v>8</v>
      </c>
      <c r="F23" s="15">
        <v>50</v>
      </c>
      <c r="G23" s="15">
        <v>1.4</v>
      </c>
      <c r="H23" s="15">
        <f t="shared" si="0"/>
        <v>48.6</v>
      </c>
      <c r="I23" s="4" t="s">
        <v>20</v>
      </c>
    </row>
    <row r="24" spans="1:9" x14ac:dyDescent="0.25">
      <c r="A24" t="s">
        <v>23</v>
      </c>
      <c r="B24" t="s">
        <v>84</v>
      </c>
      <c r="C24" s="70" t="s">
        <v>22</v>
      </c>
      <c r="D24" s="70"/>
      <c r="E24" s="3">
        <f t="shared" si="1"/>
        <v>9</v>
      </c>
      <c r="F24" s="15">
        <v>49.4</v>
      </c>
      <c r="G24" s="15">
        <v>1.5</v>
      </c>
      <c r="H24" s="15">
        <f t="shared" si="0"/>
        <v>47.9</v>
      </c>
      <c r="I24" s="4" t="s">
        <v>20</v>
      </c>
    </row>
    <row r="25" spans="1:9" x14ac:dyDescent="0.25">
      <c r="A25" t="s">
        <v>23</v>
      </c>
      <c r="B25" t="s">
        <v>84</v>
      </c>
      <c r="C25" s="70" t="s">
        <v>22</v>
      </c>
      <c r="D25" s="70"/>
      <c r="E25" s="3">
        <f t="shared" si="1"/>
        <v>10</v>
      </c>
      <c r="F25" s="15">
        <v>48.7</v>
      </c>
      <c r="G25" s="15">
        <v>1.3</v>
      </c>
      <c r="H25" s="15">
        <f t="shared" si="0"/>
        <v>47.400000000000006</v>
      </c>
      <c r="I25" s="4" t="s">
        <v>20</v>
      </c>
    </row>
    <row r="26" spans="1:9" x14ac:dyDescent="0.25">
      <c r="A26" t="s">
        <v>23</v>
      </c>
      <c r="B26" t="s">
        <v>84</v>
      </c>
      <c r="C26" s="70" t="s">
        <v>22</v>
      </c>
      <c r="D26" s="70"/>
      <c r="E26" s="3">
        <f t="shared" si="1"/>
        <v>11</v>
      </c>
      <c r="F26" s="15">
        <v>43.5</v>
      </c>
      <c r="G26" s="15">
        <v>1.5</v>
      </c>
      <c r="H26" s="15">
        <f t="shared" si="0"/>
        <v>42</v>
      </c>
      <c r="I26" s="4" t="s">
        <v>20</v>
      </c>
    </row>
    <row r="27" spans="1:9" x14ac:dyDescent="0.25">
      <c r="A27" t="s">
        <v>23</v>
      </c>
      <c r="B27" t="s">
        <v>84</v>
      </c>
      <c r="C27" s="70" t="s">
        <v>22</v>
      </c>
      <c r="D27" s="70"/>
      <c r="E27" s="3">
        <f t="shared" si="1"/>
        <v>12</v>
      </c>
      <c r="F27" s="15">
        <v>46.6</v>
      </c>
      <c r="G27" s="15">
        <v>1.1000000000000001</v>
      </c>
      <c r="H27" s="15">
        <f t="shared" si="0"/>
        <v>45.5</v>
      </c>
      <c r="I27" s="4" t="s">
        <v>20</v>
      </c>
    </row>
    <row r="28" spans="1:9" x14ac:dyDescent="0.25">
      <c r="A28" t="s">
        <v>23</v>
      </c>
      <c r="B28" t="s">
        <v>84</v>
      </c>
      <c r="C28" s="70" t="s">
        <v>22</v>
      </c>
      <c r="D28" s="70"/>
      <c r="E28" s="3">
        <f t="shared" si="1"/>
        <v>13</v>
      </c>
      <c r="F28" s="15">
        <v>46.2</v>
      </c>
      <c r="G28" s="15">
        <v>1.2</v>
      </c>
      <c r="H28" s="15">
        <f t="shared" si="0"/>
        <v>45</v>
      </c>
      <c r="I28" s="4" t="s">
        <v>20</v>
      </c>
    </row>
    <row r="29" spans="1:9" x14ac:dyDescent="0.25">
      <c r="A29" t="s">
        <v>23</v>
      </c>
      <c r="B29" t="s">
        <v>84</v>
      </c>
      <c r="C29" s="70" t="s">
        <v>22</v>
      </c>
      <c r="D29" s="70"/>
      <c r="E29" s="3">
        <f t="shared" si="1"/>
        <v>14</v>
      </c>
      <c r="F29" s="15">
        <v>45</v>
      </c>
      <c r="G29" s="15">
        <v>1.3</v>
      </c>
      <c r="H29" s="15">
        <f t="shared" si="0"/>
        <v>43.7</v>
      </c>
      <c r="I29" s="4" t="s">
        <v>20</v>
      </c>
    </row>
    <row r="30" spans="1:9" x14ac:dyDescent="0.25">
      <c r="A30" t="s">
        <v>23</v>
      </c>
      <c r="B30" t="s">
        <v>84</v>
      </c>
      <c r="C30" s="70" t="s">
        <v>22</v>
      </c>
      <c r="D30" s="70"/>
      <c r="E30" s="3">
        <f t="shared" si="1"/>
        <v>15</v>
      </c>
      <c r="F30" s="15">
        <v>43.5</v>
      </c>
      <c r="G30" s="15">
        <v>1.5</v>
      </c>
      <c r="H30" s="15">
        <f t="shared" si="0"/>
        <v>42</v>
      </c>
      <c r="I30" s="4" t="s">
        <v>20</v>
      </c>
    </row>
    <row r="31" spans="1:9" x14ac:dyDescent="0.25">
      <c r="A31" t="s">
        <v>23</v>
      </c>
      <c r="B31" t="s">
        <v>84</v>
      </c>
      <c r="C31" s="70" t="s">
        <v>22</v>
      </c>
      <c r="D31" s="70"/>
      <c r="E31" s="3">
        <f t="shared" si="1"/>
        <v>16</v>
      </c>
      <c r="F31" s="15">
        <v>47.7</v>
      </c>
      <c r="G31" s="15">
        <v>1.1000000000000001</v>
      </c>
      <c r="H31" s="15">
        <f t="shared" si="0"/>
        <v>46.6</v>
      </c>
      <c r="I31" s="4" t="s">
        <v>20</v>
      </c>
    </row>
    <row r="32" spans="1:9" x14ac:dyDescent="0.25">
      <c r="A32" t="s">
        <v>23</v>
      </c>
      <c r="B32" t="s">
        <v>84</v>
      </c>
      <c r="C32" s="70" t="s">
        <v>22</v>
      </c>
      <c r="D32" s="70"/>
      <c r="E32" s="3">
        <f t="shared" si="1"/>
        <v>17</v>
      </c>
      <c r="F32" s="15">
        <v>46.2</v>
      </c>
      <c r="G32" s="15">
        <v>1.3</v>
      </c>
      <c r="H32" s="15">
        <f t="shared" si="0"/>
        <v>44.900000000000006</v>
      </c>
      <c r="I32" s="4" t="s">
        <v>20</v>
      </c>
    </row>
    <row r="33" spans="1:9" x14ac:dyDescent="0.25">
      <c r="A33" t="s">
        <v>23</v>
      </c>
      <c r="B33" t="s">
        <v>84</v>
      </c>
      <c r="C33" s="70" t="s">
        <v>22</v>
      </c>
      <c r="D33" s="70"/>
      <c r="E33" s="3">
        <f t="shared" si="1"/>
        <v>18</v>
      </c>
      <c r="F33" s="15">
        <v>49.9</v>
      </c>
      <c r="G33" s="15">
        <v>1.7</v>
      </c>
      <c r="H33" s="15">
        <f t="shared" si="0"/>
        <v>48.199999999999996</v>
      </c>
      <c r="I33" s="4" t="s">
        <v>20</v>
      </c>
    </row>
    <row r="34" spans="1:9" x14ac:dyDescent="0.25">
      <c r="A34" t="s">
        <v>23</v>
      </c>
      <c r="B34" t="s">
        <v>84</v>
      </c>
      <c r="C34" s="70" t="s">
        <v>22</v>
      </c>
      <c r="D34" s="70"/>
      <c r="E34" s="3">
        <f t="shared" si="1"/>
        <v>19</v>
      </c>
      <c r="F34" s="15">
        <v>30.7</v>
      </c>
      <c r="G34" s="15">
        <v>0.9</v>
      </c>
      <c r="H34" s="15">
        <f t="shared" si="0"/>
        <v>29.8</v>
      </c>
      <c r="I34" s="4" t="s">
        <v>20</v>
      </c>
    </row>
    <row r="35" spans="1:9" x14ac:dyDescent="0.25">
      <c r="A35" t="s">
        <v>23</v>
      </c>
      <c r="B35" t="s">
        <v>84</v>
      </c>
      <c r="C35" s="70" t="s">
        <v>22</v>
      </c>
      <c r="D35" s="70"/>
      <c r="E35" s="3">
        <f t="shared" si="1"/>
        <v>20</v>
      </c>
      <c r="F35" s="15">
        <v>46.6</v>
      </c>
      <c r="G35" s="15">
        <v>0.7</v>
      </c>
      <c r="H35" s="15">
        <f t="shared" si="0"/>
        <v>45.9</v>
      </c>
      <c r="I35" s="4" t="s">
        <v>20</v>
      </c>
    </row>
    <row r="36" spans="1:9" x14ac:dyDescent="0.25">
      <c r="A36" t="s">
        <v>23</v>
      </c>
      <c r="B36" t="s">
        <v>84</v>
      </c>
      <c r="C36" s="70" t="s">
        <v>22</v>
      </c>
      <c r="D36" s="70"/>
      <c r="E36" s="3">
        <f t="shared" si="1"/>
        <v>21</v>
      </c>
      <c r="F36" s="15">
        <v>51</v>
      </c>
      <c r="G36" s="15">
        <v>1.7</v>
      </c>
      <c r="H36" s="15">
        <f t="shared" si="0"/>
        <v>49.3</v>
      </c>
      <c r="I36" s="4" t="s">
        <v>20</v>
      </c>
    </row>
    <row r="37" spans="1:9" x14ac:dyDescent="0.25">
      <c r="A37" t="s">
        <v>23</v>
      </c>
      <c r="B37" t="s">
        <v>84</v>
      </c>
      <c r="C37" s="70" t="s">
        <v>22</v>
      </c>
      <c r="D37" s="70"/>
      <c r="E37" s="3">
        <f t="shared" si="1"/>
        <v>22</v>
      </c>
      <c r="F37" s="15">
        <v>45.4</v>
      </c>
      <c r="G37" s="15">
        <v>1.8</v>
      </c>
      <c r="H37" s="15">
        <f t="shared" ref="H37:H49" si="2">F37-G37</f>
        <v>43.6</v>
      </c>
      <c r="I37" s="4" t="s">
        <v>20</v>
      </c>
    </row>
    <row r="38" spans="1:9" x14ac:dyDescent="0.25">
      <c r="A38" t="s">
        <v>23</v>
      </c>
      <c r="B38" t="s">
        <v>84</v>
      </c>
      <c r="C38" s="70" t="s">
        <v>22</v>
      </c>
      <c r="D38" s="70"/>
      <c r="E38" s="3">
        <f t="shared" si="1"/>
        <v>23</v>
      </c>
      <c r="F38" s="15">
        <v>54.7</v>
      </c>
      <c r="G38" s="15">
        <v>1.7</v>
      </c>
      <c r="H38" s="15">
        <f t="shared" si="2"/>
        <v>53</v>
      </c>
      <c r="I38" s="4" t="s">
        <v>20</v>
      </c>
    </row>
    <row r="39" spans="1:9" x14ac:dyDescent="0.25">
      <c r="A39" t="s">
        <v>23</v>
      </c>
      <c r="B39" t="s">
        <v>84</v>
      </c>
      <c r="C39" s="70" t="s">
        <v>22</v>
      </c>
      <c r="D39" s="70"/>
      <c r="E39" s="3">
        <f t="shared" si="1"/>
        <v>24</v>
      </c>
      <c r="F39" s="15">
        <v>50</v>
      </c>
      <c r="G39" s="15">
        <v>1.1000000000000001</v>
      </c>
      <c r="H39" s="15">
        <f t="shared" si="2"/>
        <v>48.9</v>
      </c>
      <c r="I39" s="4" t="s">
        <v>20</v>
      </c>
    </row>
    <row r="40" spans="1:9" x14ac:dyDescent="0.25">
      <c r="A40" t="s">
        <v>23</v>
      </c>
      <c r="B40" t="s">
        <v>84</v>
      </c>
      <c r="C40" s="70" t="s">
        <v>22</v>
      </c>
      <c r="D40" s="70"/>
      <c r="E40" s="3">
        <f t="shared" si="1"/>
        <v>25</v>
      </c>
      <c r="F40" s="15">
        <v>41.6</v>
      </c>
      <c r="G40" s="15">
        <v>1.1000000000000001</v>
      </c>
      <c r="H40" s="15">
        <f t="shared" si="2"/>
        <v>40.5</v>
      </c>
      <c r="I40" s="4" t="s">
        <v>20</v>
      </c>
    </row>
    <row r="41" spans="1:9" x14ac:dyDescent="0.25">
      <c r="A41" t="s">
        <v>23</v>
      </c>
      <c r="B41" t="s">
        <v>84</v>
      </c>
      <c r="C41" s="70" t="s">
        <v>22</v>
      </c>
      <c r="D41" s="70"/>
      <c r="E41" s="3">
        <f t="shared" si="1"/>
        <v>26</v>
      </c>
      <c r="F41" s="15">
        <v>48.5</v>
      </c>
      <c r="G41" s="15">
        <v>1.4</v>
      </c>
      <c r="H41" s="15">
        <f t="shared" ref="H41:H43" si="3">F41-G41</f>
        <v>47.1</v>
      </c>
      <c r="I41" s="4" t="s">
        <v>20</v>
      </c>
    </row>
    <row r="42" spans="1:9" x14ac:dyDescent="0.25">
      <c r="A42" t="s">
        <v>23</v>
      </c>
      <c r="B42" t="s">
        <v>84</v>
      </c>
      <c r="C42" s="70" t="s">
        <v>22</v>
      </c>
      <c r="D42" s="70"/>
      <c r="E42" s="3">
        <f t="shared" si="1"/>
        <v>27</v>
      </c>
      <c r="F42" s="15">
        <v>52.7</v>
      </c>
      <c r="G42" s="15">
        <v>0.7</v>
      </c>
      <c r="H42" s="15">
        <f t="shared" si="3"/>
        <v>52</v>
      </c>
      <c r="I42" s="4" t="s">
        <v>20</v>
      </c>
    </row>
    <row r="43" spans="1:9" x14ac:dyDescent="0.25">
      <c r="A43" t="s">
        <v>23</v>
      </c>
      <c r="B43" t="s">
        <v>84</v>
      </c>
      <c r="C43" s="70" t="s">
        <v>22</v>
      </c>
      <c r="D43" s="70"/>
      <c r="E43" s="3">
        <f t="shared" si="1"/>
        <v>28</v>
      </c>
      <c r="F43" s="15">
        <v>46.8</v>
      </c>
      <c r="G43" s="15">
        <v>1.2</v>
      </c>
      <c r="H43" s="15">
        <f t="shared" si="3"/>
        <v>45.599999999999994</v>
      </c>
      <c r="I43" s="4" t="s">
        <v>20</v>
      </c>
    </row>
    <row r="44" spans="1:9" x14ac:dyDescent="0.25">
      <c r="A44" t="s">
        <v>23</v>
      </c>
      <c r="B44" t="s">
        <v>84</v>
      </c>
      <c r="C44" s="70" t="s">
        <v>22</v>
      </c>
      <c r="D44" s="70"/>
      <c r="E44" s="3">
        <f t="shared" si="1"/>
        <v>29</v>
      </c>
      <c r="F44" s="15">
        <v>47.2</v>
      </c>
      <c r="G44" s="15">
        <v>0.8</v>
      </c>
      <c r="H44" s="15">
        <f t="shared" si="2"/>
        <v>46.400000000000006</v>
      </c>
      <c r="I44" s="4" t="s">
        <v>20</v>
      </c>
    </row>
    <row r="45" spans="1:9" x14ac:dyDescent="0.25">
      <c r="A45" t="s">
        <v>23</v>
      </c>
      <c r="B45" t="s">
        <v>84</v>
      </c>
      <c r="C45" s="70" t="s">
        <v>22</v>
      </c>
      <c r="D45" s="70"/>
      <c r="E45" s="3">
        <f t="shared" si="1"/>
        <v>30</v>
      </c>
      <c r="F45" s="15">
        <v>55</v>
      </c>
      <c r="G45" s="15">
        <v>0.7</v>
      </c>
      <c r="H45" s="15">
        <f t="shared" si="2"/>
        <v>54.3</v>
      </c>
      <c r="I45" s="4" t="s">
        <v>20</v>
      </c>
    </row>
    <row r="46" spans="1:9" x14ac:dyDescent="0.25">
      <c r="A46" t="s">
        <v>23</v>
      </c>
      <c r="B46" t="s">
        <v>84</v>
      </c>
      <c r="C46" s="70" t="s">
        <v>22</v>
      </c>
      <c r="D46" s="70"/>
      <c r="E46" s="3">
        <f t="shared" si="1"/>
        <v>31</v>
      </c>
      <c r="F46" s="15">
        <v>46.2</v>
      </c>
      <c r="G46" s="15">
        <v>0.8</v>
      </c>
      <c r="H46" s="15">
        <f t="shared" si="2"/>
        <v>45.400000000000006</v>
      </c>
      <c r="I46" s="4" t="s">
        <v>20</v>
      </c>
    </row>
    <row r="47" spans="1:9" x14ac:dyDescent="0.25">
      <c r="A47" t="s">
        <v>23</v>
      </c>
      <c r="B47" t="s">
        <v>84</v>
      </c>
      <c r="C47" s="70" t="s">
        <v>22</v>
      </c>
      <c r="D47" s="70"/>
      <c r="E47" s="3">
        <f t="shared" si="1"/>
        <v>32</v>
      </c>
      <c r="F47" s="15">
        <v>47.3</v>
      </c>
      <c r="G47" s="15">
        <v>0.7</v>
      </c>
      <c r="H47" s="15">
        <f t="shared" si="2"/>
        <v>46.599999999999994</v>
      </c>
      <c r="I47" s="4" t="s">
        <v>20</v>
      </c>
    </row>
    <row r="48" spans="1:9" x14ac:dyDescent="0.25">
      <c r="A48" t="s">
        <v>23</v>
      </c>
      <c r="B48" t="s">
        <v>84</v>
      </c>
      <c r="C48" s="70" t="s">
        <v>22</v>
      </c>
      <c r="D48" s="70"/>
      <c r="E48" s="3">
        <f t="shared" si="1"/>
        <v>33</v>
      </c>
      <c r="F48" s="15">
        <v>42.3</v>
      </c>
      <c r="G48" s="15">
        <v>1.1000000000000001</v>
      </c>
      <c r="H48" s="15">
        <f t="shared" ref="H48" si="4">F48-G48</f>
        <v>41.199999999999996</v>
      </c>
      <c r="I48" s="4" t="s">
        <v>20</v>
      </c>
    </row>
    <row r="49" spans="1:12" ht="15.75" thickBot="1" x14ac:dyDescent="0.3">
      <c r="A49" t="s">
        <v>23</v>
      </c>
      <c r="B49" t="s">
        <v>84</v>
      </c>
      <c r="C49" s="70" t="s">
        <v>61</v>
      </c>
      <c r="D49" s="70"/>
      <c r="E49" s="3">
        <f t="shared" si="1"/>
        <v>34</v>
      </c>
      <c r="F49" s="15">
        <v>7.9</v>
      </c>
      <c r="G49" s="15">
        <v>0.2</v>
      </c>
      <c r="H49" s="15">
        <f t="shared" si="2"/>
        <v>7.7</v>
      </c>
      <c r="I49" s="4" t="s">
        <v>42</v>
      </c>
    </row>
    <row r="50" spans="1:12" ht="16.5" thickTop="1" thickBot="1" x14ac:dyDescent="0.3">
      <c r="A50" s="75" t="s">
        <v>27</v>
      </c>
      <c r="B50" s="75"/>
      <c r="C50" s="75"/>
      <c r="D50" s="75"/>
      <c r="E50" s="12">
        <f>E49</f>
        <v>34</v>
      </c>
      <c r="F50" s="14">
        <f>SUM(F16:F49)</f>
        <v>1530.7</v>
      </c>
      <c r="G50" s="14">
        <f>SUM(G16:G49)</f>
        <v>41.500000000000007</v>
      </c>
      <c r="H50" s="14">
        <f>SUM(H16:H49)</f>
        <v>1489.2</v>
      </c>
      <c r="I50" s="13"/>
      <c r="K50" s="27">
        <f>E7-F50</f>
        <v>12</v>
      </c>
      <c r="L50" s="56">
        <f>(K50/F50)</f>
        <v>7.8395505324361393E-3</v>
      </c>
    </row>
    <row r="51" spans="1:12" ht="6.75" customHeight="1" thickTop="1" x14ac:dyDescent="0.25"/>
    <row r="52" spans="1:12" ht="15.75" thickBot="1" x14ac:dyDescent="0.3">
      <c r="A52" s="1" t="s">
        <v>29</v>
      </c>
    </row>
    <row r="53" spans="1:12" ht="30" customHeight="1" thickTop="1" thickBot="1" x14ac:dyDescent="0.3">
      <c r="A53" s="9" t="s">
        <v>7</v>
      </c>
      <c r="B53" s="9" t="s">
        <v>2</v>
      </c>
      <c r="C53" s="73" t="s">
        <v>6</v>
      </c>
      <c r="D53" s="73"/>
      <c r="E53" s="11" t="s">
        <v>30</v>
      </c>
      <c r="F53" s="11" t="s">
        <v>31</v>
      </c>
      <c r="G53" s="11" t="s">
        <v>32</v>
      </c>
      <c r="H53" s="11" t="s">
        <v>33</v>
      </c>
      <c r="I53" s="11" t="s">
        <v>37</v>
      </c>
    </row>
    <row r="54" spans="1:12" ht="16.5" thickTop="1" thickBot="1" x14ac:dyDescent="0.3">
      <c r="A54" t="s">
        <v>23</v>
      </c>
      <c r="B54" t="str">
        <f>B47</f>
        <v>REMBANG</v>
      </c>
      <c r="C54" s="76" t="str">
        <f>C47</f>
        <v>Ball Goni</v>
      </c>
      <c r="D54" s="76"/>
      <c r="E54" s="15">
        <v>1255.0999999999999</v>
      </c>
      <c r="F54" s="15">
        <v>185.7</v>
      </c>
      <c r="G54" s="15">
        <v>44.3</v>
      </c>
      <c r="H54" s="15">
        <f>IF(E54="","",(H50-E54-F54-G54))</f>
        <v>4.1000000000001506</v>
      </c>
      <c r="I54" s="15">
        <f>IF(E54="","",SUM(E54:H54))</f>
        <v>1489.2</v>
      </c>
    </row>
    <row r="55" spans="1:12" ht="16.5" thickTop="1" thickBot="1" x14ac:dyDescent="0.3">
      <c r="A55" s="77" t="s">
        <v>52</v>
      </c>
      <c r="B55" s="77"/>
      <c r="C55" s="77"/>
      <c r="D55" s="77"/>
      <c r="E55" s="20">
        <f>IF(E54="","",E54/$H50)</f>
        <v>0.84280150416330912</v>
      </c>
      <c r="F55" s="32">
        <f>IF(F54="","",F54/$H50)</f>
        <v>0.12469782433521352</v>
      </c>
      <c r="G55" s="32">
        <f t="shared" ref="G55:H55" si="5">IF(G54="","",G54/$H50)</f>
        <v>2.9747515444533974E-2</v>
      </c>
      <c r="H55" s="32">
        <f t="shared" si="5"/>
        <v>2.7531560569434262E-3</v>
      </c>
      <c r="I55" s="17">
        <f>IF(I54="","",SUM(E55:H55))</f>
        <v>1</v>
      </c>
    </row>
    <row r="56" spans="1:12" ht="15.75" thickTop="1" x14ac:dyDescent="0.25">
      <c r="A56" s="19" t="s">
        <v>16</v>
      </c>
    </row>
    <row r="57" spans="1:12" ht="10.5" customHeight="1" x14ac:dyDescent="0.25">
      <c r="A57" s="7" t="s">
        <v>36</v>
      </c>
    </row>
    <row r="58" spans="1:12" ht="10.5" customHeight="1" x14ac:dyDescent="0.25">
      <c r="A58" s="7" t="s">
        <v>35</v>
      </c>
    </row>
    <row r="59" spans="1:12" ht="10.5" customHeight="1" x14ac:dyDescent="0.25">
      <c r="A59" s="7" t="s">
        <v>34</v>
      </c>
    </row>
    <row r="60" spans="1:12" ht="10.5" customHeight="1" x14ac:dyDescent="0.25">
      <c r="A60" s="7" t="s">
        <v>50</v>
      </c>
    </row>
    <row r="61" spans="1:12" ht="6" customHeight="1" x14ac:dyDescent="0.25"/>
  </sheetData>
  <mergeCells count="41">
    <mergeCell ref="A1:I1"/>
    <mergeCell ref="A13:I13"/>
    <mergeCell ref="C15:D15"/>
    <mergeCell ref="C16:D16"/>
    <mergeCell ref="C37:D37"/>
    <mergeCell ref="C17:D17"/>
    <mergeCell ref="C18:D18"/>
    <mergeCell ref="C19:D19"/>
    <mergeCell ref="C20:D20"/>
    <mergeCell ref="C32:D32"/>
    <mergeCell ref="C21:D21"/>
    <mergeCell ref="C22:D22"/>
    <mergeCell ref="C23:D23"/>
    <mergeCell ref="C24:D24"/>
    <mergeCell ref="C25:D25"/>
    <mergeCell ref="C26:D26"/>
    <mergeCell ref="C49:D49"/>
    <mergeCell ref="A50:D50"/>
    <mergeCell ref="C53:D53"/>
    <mergeCell ref="C54:D54"/>
    <mergeCell ref="A55:D55"/>
    <mergeCell ref="C27:D27"/>
    <mergeCell ref="C28:D28"/>
    <mergeCell ref="C29:D29"/>
    <mergeCell ref="C30:D30"/>
    <mergeCell ref="C31:D31"/>
    <mergeCell ref="C48:D48"/>
    <mergeCell ref="C33:D33"/>
    <mergeCell ref="C34:D34"/>
    <mergeCell ref="C35:D35"/>
    <mergeCell ref="C36:D36"/>
    <mergeCell ref="C41:D41"/>
    <mergeCell ref="C42:D42"/>
    <mergeCell ref="C39:D39"/>
    <mergeCell ref="C40:D40"/>
    <mergeCell ref="C44:D44"/>
    <mergeCell ref="C45:D45"/>
    <mergeCell ref="C46:D46"/>
    <mergeCell ref="C47:D47"/>
    <mergeCell ref="C43:D43"/>
    <mergeCell ref="C38:D38"/>
  </mergeCells>
  <pageMargins left="0" right="0" top="0" bottom="0" header="0" footer="0"/>
  <pageSetup paperSize="346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07B7-F8A4-4E1F-8F79-C9F58303185F}">
  <sheetPr>
    <tabColor rgb="FF00B050"/>
  </sheetPr>
  <dimension ref="A1:M112"/>
  <sheetViews>
    <sheetView showGridLines="0" topLeftCell="A100" workbookViewId="0">
      <selection activeCell="M1" sqref="M1:M1048576"/>
    </sheetView>
  </sheetViews>
  <sheetFormatPr defaultRowHeight="15" x14ac:dyDescent="0.25"/>
  <cols>
    <col min="1" max="1" width="13" customWidth="1"/>
    <col min="2" max="2" width="12.85546875" customWidth="1"/>
    <col min="3" max="3" width="9.85546875" customWidth="1"/>
    <col min="4" max="4" width="8.8554687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  <col min="13" max="13" width="0" hidden="1" customWidth="1"/>
  </cols>
  <sheetData>
    <row r="1" spans="1:13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3" x14ac:dyDescent="0.25">
      <c r="A3" s="8" t="s">
        <v>142</v>
      </c>
    </row>
    <row r="4" spans="1:13" x14ac:dyDescent="0.25">
      <c r="A4" s="1" t="s">
        <v>0</v>
      </c>
      <c r="B4" t="s">
        <v>49</v>
      </c>
      <c r="H4" s="22" t="s">
        <v>58</v>
      </c>
      <c r="I4" s="21">
        <v>46216</v>
      </c>
    </row>
    <row r="5" spans="1:13" ht="4.5" customHeight="1" thickBot="1" x14ac:dyDescent="0.3"/>
    <row r="6" spans="1:13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3" ht="15.75" thickTop="1" x14ac:dyDescent="0.25">
      <c r="A7" s="5" t="s">
        <v>1</v>
      </c>
      <c r="B7" s="5" t="s">
        <v>46</v>
      </c>
      <c r="C7" s="4">
        <v>85</v>
      </c>
      <c r="D7" s="4" t="s">
        <v>22</v>
      </c>
      <c r="E7" s="15">
        <v>3391.0000000000005</v>
      </c>
      <c r="F7" s="15">
        <f>G101</f>
        <v>105.19999999999997</v>
      </c>
      <c r="G7" s="15">
        <f>E7-F7</f>
        <v>3285.8000000000006</v>
      </c>
      <c r="H7" s="6">
        <v>46207</v>
      </c>
      <c r="I7" s="6" t="s">
        <v>20</v>
      </c>
      <c r="M7">
        <v>48</v>
      </c>
    </row>
    <row r="8" spans="1:13" ht="4.5" customHeight="1" x14ac:dyDescent="0.25"/>
    <row r="9" spans="1:13" x14ac:dyDescent="0.25">
      <c r="A9" s="19" t="s">
        <v>16</v>
      </c>
      <c r="M9">
        <v>41</v>
      </c>
    </row>
    <row r="10" spans="1:13" ht="10.5" customHeight="1" x14ac:dyDescent="0.25">
      <c r="A10" s="7" t="s">
        <v>143</v>
      </c>
      <c r="M10">
        <v>25</v>
      </c>
    </row>
    <row r="11" spans="1:13" ht="12.75" customHeight="1" x14ac:dyDescent="0.25">
      <c r="A11" s="7" t="s">
        <v>17</v>
      </c>
      <c r="M11">
        <v>4</v>
      </c>
    </row>
    <row r="12" spans="1:13" ht="5.25" customHeight="1" x14ac:dyDescent="0.25"/>
    <row r="13" spans="1:13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3" ht="23.25" customHeight="1" thickBot="1" x14ac:dyDescent="0.3">
      <c r="A14" s="1" t="s">
        <v>148</v>
      </c>
      <c r="B14" s="1"/>
      <c r="C14" s="1"/>
    </row>
    <row r="15" spans="1:13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3" ht="15.75" thickTop="1" x14ac:dyDescent="0.25">
      <c r="A16" t="s">
        <v>23</v>
      </c>
      <c r="B16" t="s">
        <v>46</v>
      </c>
      <c r="C16" s="74" t="s">
        <v>22</v>
      </c>
      <c r="D16" s="74"/>
      <c r="E16" s="3">
        <v>1</v>
      </c>
      <c r="F16" s="15">
        <v>35.299999999999997</v>
      </c>
      <c r="G16" s="15">
        <v>1.2</v>
      </c>
      <c r="H16" s="15">
        <f>F16-G16</f>
        <v>34.099999999999994</v>
      </c>
      <c r="I16" s="4" t="s">
        <v>20</v>
      </c>
    </row>
    <row r="17" spans="1:9" x14ac:dyDescent="0.25">
      <c r="A17" t="s">
        <v>23</v>
      </c>
      <c r="B17" t="s">
        <v>46</v>
      </c>
      <c r="C17" s="70" t="s">
        <v>22</v>
      </c>
      <c r="D17" s="70"/>
      <c r="E17" s="3">
        <f>E16+1</f>
        <v>2</v>
      </c>
      <c r="F17" s="15">
        <v>40</v>
      </c>
      <c r="G17" s="15">
        <v>0.8</v>
      </c>
      <c r="H17" s="15">
        <f t="shared" ref="H17:H80" si="0">F17-G17</f>
        <v>39.200000000000003</v>
      </c>
      <c r="I17" s="4" t="s">
        <v>20</v>
      </c>
    </row>
    <row r="18" spans="1:9" x14ac:dyDescent="0.25">
      <c r="A18" t="s">
        <v>23</v>
      </c>
      <c r="B18" t="s">
        <v>46</v>
      </c>
      <c r="C18" s="70" t="s">
        <v>22</v>
      </c>
      <c r="D18" s="70"/>
      <c r="E18" s="3">
        <f t="shared" ref="E18:E81" si="1">E17+1</f>
        <v>3</v>
      </c>
      <c r="F18" s="15">
        <v>39.1</v>
      </c>
      <c r="G18" s="15">
        <v>1.5</v>
      </c>
      <c r="H18" s="15">
        <f t="shared" si="0"/>
        <v>37.6</v>
      </c>
      <c r="I18" s="4" t="s">
        <v>20</v>
      </c>
    </row>
    <row r="19" spans="1:9" x14ac:dyDescent="0.25">
      <c r="A19" t="s">
        <v>23</v>
      </c>
      <c r="B19" t="s">
        <v>46</v>
      </c>
      <c r="C19" s="70" t="s">
        <v>22</v>
      </c>
      <c r="D19" s="70"/>
      <c r="E19" s="3">
        <f t="shared" si="1"/>
        <v>4</v>
      </c>
      <c r="F19" s="15">
        <v>34.700000000000003</v>
      </c>
      <c r="G19" s="15">
        <v>1.2</v>
      </c>
      <c r="H19" s="15">
        <f t="shared" si="0"/>
        <v>33.5</v>
      </c>
      <c r="I19" s="4" t="s">
        <v>20</v>
      </c>
    </row>
    <row r="20" spans="1:9" x14ac:dyDescent="0.25">
      <c r="A20" t="s">
        <v>23</v>
      </c>
      <c r="B20" t="s">
        <v>46</v>
      </c>
      <c r="C20" s="70" t="s">
        <v>22</v>
      </c>
      <c r="D20" s="70"/>
      <c r="E20" s="3">
        <f t="shared" si="1"/>
        <v>5</v>
      </c>
      <c r="F20" s="15">
        <v>33.200000000000003</v>
      </c>
      <c r="G20" s="15">
        <v>0.9</v>
      </c>
      <c r="H20" s="15">
        <f t="shared" si="0"/>
        <v>32.300000000000004</v>
      </c>
      <c r="I20" s="4" t="s">
        <v>20</v>
      </c>
    </row>
    <row r="21" spans="1:9" x14ac:dyDescent="0.25">
      <c r="A21" t="s">
        <v>23</v>
      </c>
      <c r="B21" t="s">
        <v>46</v>
      </c>
      <c r="C21" s="70" t="s">
        <v>22</v>
      </c>
      <c r="D21" s="70"/>
      <c r="E21" s="3">
        <f t="shared" si="1"/>
        <v>6</v>
      </c>
      <c r="F21" s="15">
        <v>41.3</v>
      </c>
      <c r="G21" s="15">
        <v>1</v>
      </c>
      <c r="H21" s="15">
        <f t="shared" si="0"/>
        <v>40.299999999999997</v>
      </c>
      <c r="I21" s="4" t="s">
        <v>20</v>
      </c>
    </row>
    <row r="22" spans="1:9" x14ac:dyDescent="0.25">
      <c r="A22" t="s">
        <v>23</v>
      </c>
      <c r="B22" t="s">
        <v>46</v>
      </c>
      <c r="C22" s="70" t="s">
        <v>22</v>
      </c>
      <c r="D22" s="70"/>
      <c r="E22" s="3">
        <f t="shared" si="1"/>
        <v>7</v>
      </c>
      <c r="F22" s="15">
        <v>37.9</v>
      </c>
      <c r="G22" s="15">
        <v>1.4</v>
      </c>
      <c r="H22" s="15">
        <f t="shared" si="0"/>
        <v>36.5</v>
      </c>
      <c r="I22" s="4" t="s">
        <v>20</v>
      </c>
    </row>
    <row r="23" spans="1:9" x14ac:dyDescent="0.25">
      <c r="A23" t="s">
        <v>23</v>
      </c>
      <c r="B23" t="s">
        <v>46</v>
      </c>
      <c r="C23" s="70" t="s">
        <v>22</v>
      </c>
      <c r="D23" s="70"/>
      <c r="E23" s="3">
        <f t="shared" si="1"/>
        <v>8</v>
      </c>
      <c r="F23" s="15">
        <v>39.299999999999997</v>
      </c>
      <c r="G23" s="15">
        <v>1.3</v>
      </c>
      <c r="H23" s="15">
        <f t="shared" si="0"/>
        <v>38</v>
      </c>
      <c r="I23" s="4" t="s">
        <v>20</v>
      </c>
    </row>
    <row r="24" spans="1:9" x14ac:dyDescent="0.25">
      <c r="A24" t="s">
        <v>23</v>
      </c>
      <c r="B24" t="s">
        <v>46</v>
      </c>
      <c r="C24" s="70" t="s">
        <v>22</v>
      </c>
      <c r="D24" s="70"/>
      <c r="E24" s="3">
        <f t="shared" si="1"/>
        <v>9</v>
      </c>
      <c r="F24" s="15">
        <v>36.1</v>
      </c>
      <c r="G24" s="15">
        <v>1</v>
      </c>
      <c r="H24" s="15">
        <f t="shared" si="0"/>
        <v>35.1</v>
      </c>
      <c r="I24" s="4" t="s">
        <v>20</v>
      </c>
    </row>
    <row r="25" spans="1:9" x14ac:dyDescent="0.25">
      <c r="A25" t="s">
        <v>23</v>
      </c>
      <c r="B25" t="s">
        <v>46</v>
      </c>
      <c r="C25" s="70" t="s">
        <v>22</v>
      </c>
      <c r="D25" s="70"/>
      <c r="E25" s="3">
        <f t="shared" si="1"/>
        <v>10</v>
      </c>
      <c r="F25" s="15">
        <v>39.1</v>
      </c>
      <c r="G25" s="15">
        <v>1.7</v>
      </c>
      <c r="H25" s="15">
        <f t="shared" si="0"/>
        <v>37.4</v>
      </c>
      <c r="I25" s="4" t="s">
        <v>20</v>
      </c>
    </row>
    <row r="26" spans="1:9" x14ac:dyDescent="0.25">
      <c r="A26" t="s">
        <v>23</v>
      </c>
      <c r="B26" t="s">
        <v>46</v>
      </c>
      <c r="C26" s="70" t="s">
        <v>22</v>
      </c>
      <c r="D26" s="70"/>
      <c r="E26" s="3">
        <f t="shared" si="1"/>
        <v>11</v>
      </c>
      <c r="F26" s="15">
        <v>38.1</v>
      </c>
      <c r="G26" s="15">
        <v>0.8</v>
      </c>
      <c r="H26" s="15">
        <f t="shared" si="0"/>
        <v>37.300000000000004</v>
      </c>
      <c r="I26" s="4" t="s">
        <v>20</v>
      </c>
    </row>
    <row r="27" spans="1:9" x14ac:dyDescent="0.25">
      <c r="A27" t="s">
        <v>23</v>
      </c>
      <c r="B27" t="s">
        <v>46</v>
      </c>
      <c r="C27" s="70" t="s">
        <v>22</v>
      </c>
      <c r="D27" s="70"/>
      <c r="E27" s="3">
        <f t="shared" si="1"/>
        <v>12</v>
      </c>
      <c r="F27" s="15">
        <v>37.9</v>
      </c>
      <c r="G27" s="15">
        <v>1.2</v>
      </c>
      <c r="H27" s="15">
        <f t="shared" si="0"/>
        <v>36.699999999999996</v>
      </c>
      <c r="I27" s="4" t="s">
        <v>20</v>
      </c>
    </row>
    <row r="28" spans="1:9" x14ac:dyDescent="0.25">
      <c r="A28" t="s">
        <v>23</v>
      </c>
      <c r="B28" t="s">
        <v>46</v>
      </c>
      <c r="C28" s="70" t="s">
        <v>22</v>
      </c>
      <c r="D28" s="70"/>
      <c r="E28" s="3">
        <f t="shared" si="1"/>
        <v>13</v>
      </c>
      <c r="F28" s="15">
        <v>32.1</v>
      </c>
      <c r="G28" s="15">
        <v>1</v>
      </c>
      <c r="H28" s="15">
        <f t="shared" si="0"/>
        <v>31.1</v>
      </c>
      <c r="I28" s="4" t="s">
        <v>20</v>
      </c>
    </row>
    <row r="29" spans="1:9" x14ac:dyDescent="0.25">
      <c r="A29" t="s">
        <v>23</v>
      </c>
      <c r="B29" t="s">
        <v>46</v>
      </c>
      <c r="C29" s="70" t="s">
        <v>22</v>
      </c>
      <c r="D29" s="70"/>
      <c r="E29" s="3">
        <f t="shared" si="1"/>
        <v>14</v>
      </c>
      <c r="F29" s="15">
        <v>39.799999999999997</v>
      </c>
      <c r="G29" s="15">
        <v>1.3</v>
      </c>
      <c r="H29" s="15">
        <f t="shared" si="0"/>
        <v>38.5</v>
      </c>
      <c r="I29" s="4" t="s">
        <v>20</v>
      </c>
    </row>
    <row r="30" spans="1:9" x14ac:dyDescent="0.25">
      <c r="A30" t="s">
        <v>23</v>
      </c>
      <c r="B30" t="s">
        <v>46</v>
      </c>
      <c r="C30" s="70" t="s">
        <v>22</v>
      </c>
      <c r="D30" s="70"/>
      <c r="E30" s="3">
        <f t="shared" si="1"/>
        <v>15</v>
      </c>
      <c r="F30" s="15">
        <v>43.5</v>
      </c>
      <c r="G30" s="15">
        <v>1.5</v>
      </c>
      <c r="H30" s="15">
        <f t="shared" si="0"/>
        <v>42</v>
      </c>
      <c r="I30" s="4" t="s">
        <v>20</v>
      </c>
    </row>
    <row r="31" spans="1:9" x14ac:dyDescent="0.25">
      <c r="A31" t="s">
        <v>23</v>
      </c>
      <c r="B31" t="s">
        <v>46</v>
      </c>
      <c r="C31" s="70" t="s">
        <v>22</v>
      </c>
      <c r="D31" s="70"/>
      <c r="E31" s="3">
        <f t="shared" si="1"/>
        <v>16</v>
      </c>
      <c r="F31" s="15">
        <v>34.9</v>
      </c>
      <c r="G31" s="15">
        <v>1.7</v>
      </c>
      <c r="H31" s="15">
        <f t="shared" si="0"/>
        <v>33.199999999999996</v>
      </c>
      <c r="I31" s="4" t="s">
        <v>20</v>
      </c>
    </row>
    <row r="32" spans="1:9" x14ac:dyDescent="0.25">
      <c r="A32" t="s">
        <v>23</v>
      </c>
      <c r="B32" t="s">
        <v>46</v>
      </c>
      <c r="C32" s="70" t="s">
        <v>22</v>
      </c>
      <c r="D32" s="70"/>
      <c r="E32" s="3">
        <f t="shared" si="1"/>
        <v>17</v>
      </c>
      <c r="F32" s="15">
        <v>35.299999999999997</v>
      </c>
      <c r="G32" s="15">
        <v>0.9</v>
      </c>
      <c r="H32" s="15">
        <f t="shared" si="0"/>
        <v>34.4</v>
      </c>
      <c r="I32" s="4" t="s">
        <v>20</v>
      </c>
    </row>
    <row r="33" spans="1:9" x14ac:dyDescent="0.25">
      <c r="A33" t="s">
        <v>23</v>
      </c>
      <c r="B33" t="s">
        <v>46</v>
      </c>
      <c r="C33" s="70" t="s">
        <v>22</v>
      </c>
      <c r="D33" s="70"/>
      <c r="E33" s="3">
        <f t="shared" si="1"/>
        <v>18</v>
      </c>
      <c r="F33" s="15">
        <v>38.1</v>
      </c>
      <c r="G33" s="15">
        <v>1</v>
      </c>
      <c r="H33" s="15">
        <f t="shared" si="0"/>
        <v>37.1</v>
      </c>
      <c r="I33" s="4" t="s">
        <v>20</v>
      </c>
    </row>
    <row r="34" spans="1:9" x14ac:dyDescent="0.25">
      <c r="A34" t="s">
        <v>23</v>
      </c>
      <c r="B34" t="s">
        <v>46</v>
      </c>
      <c r="C34" s="70" t="s">
        <v>22</v>
      </c>
      <c r="D34" s="70"/>
      <c r="E34" s="3">
        <f t="shared" si="1"/>
        <v>19</v>
      </c>
      <c r="F34" s="15">
        <v>43.4</v>
      </c>
      <c r="G34" s="15">
        <v>1</v>
      </c>
      <c r="H34" s="15">
        <f t="shared" si="0"/>
        <v>42.4</v>
      </c>
      <c r="I34" s="4" t="s">
        <v>20</v>
      </c>
    </row>
    <row r="35" spans="1:9" x14ac:dyDescent="0.25">
      <c r="A35" t="s">
        <v>23</v>
      </c>
      <c r="B35" t="s">
        <v>46</v>
      </c>
      <c r="C35" s="70" t="s">
        <v>22</v>
      </c>
      <c r="D35" s="70"/>
      <c r="E35" s="3">
        <f t="shared" si="1"/>
        <v>20</v>
      </c>
      <c r="F35" s="15">
        <v>37.700000000000003</v>
      </c>
      <c r="G35" s="15">
        <v>1.1000000000000001</v>
      </c>
      <c r="H35" s="15">
        <f t="shared" si="0"/>
        <v>36.6</v>
      </c>
      <c r="I35" s="4" t="s">
        <v>20</v>
      </c>
    </row>
    <row r="36" spans="1:9" x14ac:dyDescent="0.25">
      <c r="A36" t="s">
        <v>23</v>
      </c>
      <c r="B36" t="s">
        <v>46</v>
      </c>
      <c r="C36" s="70" t="s">
        <v>22</v>
      </c>
      <c r="D36" s="70"/>
      <c r="E36" s="3">
        <f t="shared" si="1"/>
        <v>21</v>
      </c>
      <c r="F36" s="15">
        <v>38.1</v>
      </c>
      <c r="G36" s="15">
        <v>1.5</v>
      </c>
      <c r="H36" s="15">
        <f t="shared" si="0"/>
        <v>36.6</v>
      </c>
      <c r="I36" s="4" t="s">
        <v>20</v>
      </c>
    </row>
    <row r="37" spans="1:9" x14ac:dyDescent="0.25">
      <c r="A37" t="s">
        <v>23</v>
      </c>
      <c r="B37" t="s">
        <v>46</v>
      </c>
      <c r="C37" s="70" t="s">
        <v>22</v>
      </c>
      <c r="D37" s="70"/>
      <c r="E37" s="3">
        <f t="shared" si="1"/>
        <v>22</v>
      </c>
      <c r="F37" s="15">
        <v>39</v>
      </c>
      <c r="G37" s="15">
        <v>1.7</v>
      </c>
      <c r="H37" s="15">
        <f t="shared" si="0"/>
        <v>37.299999999999997</v>
      </c>
      <c r="I37" s="4" t="s">
        <v>20</v>
      </c>
    </row>
    <row r="38" spans="1:9" x14ac:dyDescent="0.25">
      <c r="A38" t="s">
        <v>23</v>
      </c>
      <c r="B38" t="s">
        <v>46</v>
      </c>
      <c r="C38" s="70" t="s">
        <v>22</v>
      </c>
      <c r="D38" s="70"/>
      <c r="E38" s="3">
        <f t="shared" si="1"/>
        <v>23</v>
      </c>
      <c r="F38" s="15">
        <v>39.1</v>
      </c>
      <c r="G38" s="15">
        <v>0.9</v>
      </c>
      <c r="H38" s="15">
        <f t="shared" si="0"/>
        <v>38.200000000000003</v>
      </c>
      <c r="I38" s="4" t="s">
        <v>20</v>
      </c>
    </row>
    <row r="39" spans="1:9" x14ac:dyDescent="0.25">
      <c r="A39" t="s">
        <v>23</v>
      </c>
      <c r="B39" t="s">
        <v>46</v>
      </c>
      <c r="C39" s="70" t="s">
        <v>22</v>
      </c>
      <c r="D39" s="70"/>
      <c r="E39" s="3">
        <f t="shared" si="1"/>
        <v>24</v>
      </c>
      <c r="F39" s="15">
        <v>35.9</v>
      </c>
      <c r="G39" s="15">
        <v>0.8</v>
      </c>
      <c r="H39" s="15">
        <f t="shared" si="0"/>
        <v>35.1</v>
      </c>
      <c r="I39" s="4" t="s">
        <v>20</v>
      </c>
    </row>
    <row r="40" spans="1:9" x14ac:dyDescent="0.25">
      <c r="A40" t="s">
        <v>23</v>
      </c>
      <c r="B40" t="s">
        <v>46</v>
      </c>
      <c r="C40" s="70" t="s">
        <v>22</v>
      </c>
      <c r="D40" s="70"/>
      <c r="E40" s="3">
        <f t="shared" si="1"/>
        <v>25</v>
      </c>
      <c r="F40" s="15">
        <v>37</v>
      </c>
      <c r="G40" s="15">
        <v>1.1000000000000001</v>
      </c>
      <c r="H40" s="15">
        <f t="shared" si="0"/>
        <v>35.9</v>
      </c>
      <c r="I40" s="4" t="s">
        <v>20</v>
      </c>
    </row>
    <row r="41" spans="1:9" x14ac:dyDescent="0.25">
      <c r="A41" t="s">
        <v>23</v>
      </c>
      <c r="B41" t="s">
        <v>46</v>
      </c>
      <c r="C41" s="70" t="s">
        <v>22</v>
      </c>
      <c r="D41" s="70"/>
      <c r="E41" s="3">
        <f t="shared" si="1"/>
        <v>26</v>
      </c>
      <c r="F41" s="15">
        <v>36.4</v>
      </c>
      <c r="G41" s="15">
        <v>1.1000000000000001</v>
      </c>
      <c r="H41" s="15">
        <f t="shared" si="0"/>
        <v>35.299999999999997</v>
      </c>
      <c r="I41" s="4" t="s">
        <v>20</v>
      </c>
    </row>
    <row r="42" spans="1:9" x14ac:dyDescent="0.25">
      <c r="A42" t="s">
        <v>23</v>
      </c>
      <c r="B42" t="s">
        <v>46</v>
      </c>
      <c r="C42" s="70" t="s">
        <v>22</v>
      </c>
      <c r="D42" s="70"/>
      <c r="E42" s="3">
        <f t="shared" si="1"/>
        <v>27</v>
      </c>
      <c r="F42" s="15">
        <v>36.9</v>
      </c>
      <c r="G42" s="15">
        <v>1</v>
      </c>
      <c r="H42" s="15">
        <f t="shared" si="0"/>
        <v>35.9</v>
      </c>
      <c r="I42" s="4" t="s">
        <v>20</v>
      </c>
    </row>
    <row r="43" spans="1:9" x14ac:dyDescent="0.25">
      <c r="A43" t="s">
        <v>23</v>
      </c>
      <c r="B43" t="s">
        <v>46</v>
      </c>
      <c r="C43" s="70" t="s">
        <v>22</v>
      </c>
      <c r="D43" s="70"/>
      <c r="E43" s="3">
        <f t="shared" si="1"/>
        <v>28</v>
      </c>
      <c r="F43" s="15">
        <v>38.5</v>
      </c>
      <c r="G43" s="15">
        <v>1.5</v>
      </c>
      <c r="H43" s="15">
        <f t="shared" si="0"/>
        <v>37</v>
      </c>
      <c r="I43" s="4" t="s">
        <v>20</v>
      </c>
    </row>
    <row r="44" spans="1:9" x14ac:dyDescent="0.25">
      <c r="A44" t="s">
        <v>23</v>
      </c>
      <c r="B44" t="s">
        <v>46</v>
      </c>
      <c r="C44" s="70" t="s">
        <v>22</v>
      </c>
      <c r="D44" s="70"/>
      <c r="E44" s="3">
        <f t="shared" si="1"/>
        <v>29</v>
      </c>
      <c r="F44" s="15">
        <v>38.299999999999997</v>
      </c>
      <c r="G44" s="15">
        <v>1.3</v>
      </c>
      <c r="H44" s="15">
        <f t="shared" si="0"/>
        <v>37</v>
      </c>
      <c r="I44" s="4" t="s">
        <v>20</v>
      </c>
    </row>
    <row r="45" spans="1:9" x14ac:dyDescent="0.25">
      <c r="A45" t="s">
        <v>23</v>
      </c>
      <c r="B45" t="s">
        <v>46</v>
      </c>
      <c r="C45" s="70" t="s">
        <v>22</v>
      </c>
      <c r="D45" s="70"/>
      <c r="E45" s="3">
        <f t="shared" si="1"/>
        <v>30</v>
      </c>
      <c r="F45" s="15">
        <v>37.9</v>
      </c>
      <c r="G45" s="15">
        <v>1</v>
      </c>
      <c r="H45" s="15">
        <f t="shared" si="0"/>
        <v>36.9</v>
      </c>
      <c r="I45" s="4" t="s">
        <v>20</v>
      </c>
    </row>
    <row r="46" spans="1:9" x14ac:dyDescent="0.25">
      <c r="A46" t="s">
        <v>23</v>
      </c>
      <c r="B46" t="s">
        <v>46</v>
      </c>
      <c r="C46" s="70" t="s">
        <v>22</v>
      </c>
      <c r="D46" s="70"/>
      <c r="E46" s="3">
        <f t="shared" si="1"/>
        <v>31</v>
      </c>
      <c r="F46" s="15">
        <v>43.8</v>
      </c>
      <c r="G46" s="15">
        <v>1.7</v>
      </c>
      <c r="H46" s="15">
        <f t="shared" si="0"/>
        <v>42.099999999999994</v>
      </c>
      <c r="I46" s="4" t="s">
        <v>20</v>
      </c>
    </row>
    <row r="47" spans="1:9" x14ac:dyDescent="0.25">
      <c r="A47" t="s">
        <v>23</v>
      </c>
      <c r="B47" t="s">
        <v>46</v>
      </c>
      <c r="C47" s="70" t="s">
        <v>22</v>
      </c>
      <c r="D47" s="70"/>
      <c r="E47" s="3">
        <f t="shared" si="1"/>
        <v>32</v>
      </c>
      <c r="F47" s="15">
        <v>35.5</v>
      </c>
      <c r="G47" s="15">
        <v>1.2</v>
      </c>
      <c r="H47" s="15">
        <f t="shared" si="0"/>
        <v>34.299999999999997</v>
      </c>
      <c r="I47" s="4" t="s">
        <v>20</v>
      </c>
    </row>
    <row r="48" spans="1:9" x14ac:dyDescent="0.25">
      <c r="A48" t="s">
        <v>23</v>
      </c>
      <c r="B48" t="s">
        <v>46</v>
      </c>
      <c r="C48" s="70" t="s">
        <v>22</v>
      </c>
      <c r="D48" s="70"/>
      <c r="E48" s="3">
        <f t="shared" si="1"/>
        <v>33</v>
      </c>
      <c r="F48" s="15">
        <v>39.4</v>
      </c>
      <c r="G48" s="15">
        <v>1.7</v>
      </c>
      <c r="H48" s="15">
        <f t="shared" si="0"/>
        <v>37.699999999999996</v>
      </c>
      <c r="I48" s="4" t="s">
        <v>20</v>
      </c>
    </row>
    <row r="49" spans="1:9" x14ac:dyDescent="0.25">
      <c r="A49" t="s">
        <v>23</v>
      </c>
      <c r="B49" t="s">
        <v>46</v>
      </c>
      <c r="C49" s="70" t="s">
        <v>22</v>
      </c>
      <c r="D49" s="70"/>
      <c r="E49" s="3">
        <f t="shared" si="1"/>
        <v>34</v>
      </c>
      <c r="F49" s="15">
        <v>38.4</v>
      </c>
      <c r="G49" s="15">
        <v>1</v>
      </c>
      <c r="H49" s="15">
        <f t="shared" si="0"/>
        <v>37.4</v>
      </c>
      <c r="I49" s="4" t="s">
        <v>20</v>
      </c>
    </row>
    <row r="50" spans="1:9" x14ac:dyDescent="0.25">
      <c r="A50" t="s">
        <v>23</v>
      </c>
      <c r="B50" t="s">
        <v>46</v>
      </c>
      <c r="C50" s="70" t="s">
        <v>22</v>
      </c>
      <c r="D50" s="70"/>
      <c r="E50" s="3">
        <f t="shared" si="1"/>
        <v>35</v>
      </c>
      <c r="F50" s="15">
        <v>40.700000000000003</v>
      </c>
      <c r="G50" s="15">
        <v>0.9</v>
      </c>
      <c r="H50" s="15">
        <f t="shared" si="0"/>
        <v>39.800000000000004</v>
      </c>
      <c r="I50" s="4" t="s">
        <v>20</v>
      </c>
    </row>
    <row r="51" spans="1:9" x14ac:dyDescent="0.25">
      <c r="A51" t="s">
        <v>23</v>
      </c>
      <c r="B51" t="s">
        <v>46</v>
      </c>
      <c r="C51" s="70" t="s">
        <v>22</v>
      </c>
      <c r="D51" s="70"/>
      <c r="E51" s="3">
        <f t="shared" si="1"/>
        <v>36</v>
      </c>
      <c r="F51" s="15">
        <v>34.5</v>
      </c>
      <c r="G51" s="15">
        <v>1.4</v>
      </c>
      <c r="H51" s="15">
        <f t="shared" si="0"/>
        <v>33.1</v>
      </c>
      <c r="I51" s="4" t="s">
        <v>20</v>
      </c>
    </row>
    <row r="52" spans="1:9" x14ac:dyDescent="0.25">
      <c r="A52" t="s">
        <v>23</v>
      </c>
      <c r="B52" t="s">
        <v>46</v>
      </c>
      <c r="C52" s="70" t="s">
        <v>22</v>
      </c>
      <c r="D52" s="70"/>
      <c r="E52" s="3">
        <f t="shared" si="1"/>
        <v>37</v>
      </c>
      <c r="F52" s="15">
        <v>34.6</v>
      </c>
      <c r="G52" s="15">
        <v>1.1000000000000001</v>
      </c>
      <c r="H52" s="15">
        <f t="shared" si="0"/>
        <v>33.5</v>
      </c>
      <c r="I52" s="4" t="s">
        <v>20</v>
      </c>
    </row>
    <row r="53" spans="1:9" x14ac:dyDescent="0.25">
      <c r="A53" t="s">
        <v>23</v>
      </c>
      <c r="B53" t="s">
        <v>46</v>
      </c>
      <c r="C53" s="70" t="s">
        <v>22</v>
      </c>
      <c r="D53" s="70"/>
      <c r="E53" s="3">
        <f t="shared" si="1"/>
        <v>38</v>
      </c>
      <c r="F53" s="15">
        <v>38.6</v>
      </c>
      <c r="G53" s="15">
        <v>1.5</v>
      </c>
      <c r="H53" s="15">
        <f t="shared" si="0"/>
        <v>37.1</v>
      </c>
      <c r="I53" s="4" t="s">
        <v>20</v>
      </c>
    </row>
    <row r="54" spans="1:9" x14ac:dyDescent="0.25">
      <c r="A54" t="s">
        <v>23</v>
      </c>
      <c r="B54" t="s">
        <v>46</v>
      </c>
      <c r="C54" s="70" t="s">
        <v>22</v>
      </c>
      <c r="D54" s="70"/>
      <c r="E54" s="3">
        <f t="shared" si="1"/>
        <v>39</v>
      </c>
      <c r="F54" s="15">
        <v>38.799999999999997</v>
      </c>
      <c r="G54" s="15">
        <v>1.2</v>
      </c>
      <c r="H54" s="15">
        <f t="shared" si="0"/>
        <v>37.599999999999994</v>
      </c>
      <c r="I54" s="4" t="s">
        <v>20</v>
      </c>
    </row>
    <row r="55" spans="1:9" x14ac:dyDescent="0.25">
      <c r="A55" t="s">
        <v>23</v>
      </c>
      <c r="B55" t="s">
        <v>46</v>
      </c>
      <c r="C55" s="70" t="s">
        <v>22</v>
      </c>
      <c r="D55" s="70"/>
      <c r="E55" s="3">
        <f t="shared" si="1"/>
        <v>40</v>
      </c>
      <c r="F55" s="15">
        <v>39</v>
      </c>
      <c r="G55" s="15">
        <v>1.7</v>
      </c>
      <c r="H55" s="15">
        <f t="shared" si="0"/>
        <v>37.299999999999997</v>
      </c>
      <c r="I55" s="4" t="s">
        <v>20</v>
      </c>
    </row>
    <row r="56" spans="1:9" x14ac:dyDescent="0.25">
      <c r="A56" t="s">
        <v>23</v>
      </c>
      <c r="B56" t="s">
        <v>46</v>
      </c>
      <c r="C56" s="70" t="s">
        <v>22</v>
      </c>
      <c r="D56" s="70"/>
      <c r="E56" s="3">
        <f t="shared" si="1"/>
        <v>41</v>
      </c>
      <c r="F56" s="15">
        <v>40.200000000000003</v>
      </c>
      <c r="G56" s="15">
        <v>1.2</v>
      </c>
      <c r="H56" s="15">
        <f t="shared" si="0"/>
        <v>39</v>
      </c>
      <c r="I56" s="4" t="s">
        <v>20</v>
      </c>
    </row>
    <row r="57" spans="1:9" x14ac:dyDescent="0.25">
      <c r="A57" t="s">
        <v>23</v>
      </c>
      <c r="B57" t="s">
        <v>46</v>
      </c>
      <c r="C57" s="70" t="s">
        <v>22</v>
      </c>
      <c r="D57" s="70"/>
      <c r="E57" s="3">
        <f t="shared" si="1"/>
        <v>42</v>
      </c>
      <c r="F57" s="15">
        <v>37</v>
      </c>
      <c r="G57" s="15">
        <v>1.3</v>
      </c>
      <c r="H57" s="15">
        <f t="shared" si="0"/>
        <v>35.700000000000003</v>
      </c>
      <c r="I57" s="4" t="s">
        <v>20</v>
      </c>
    </row>
    <row r="58" spans="1:9" x14ac:dyDescent="0.25">
      <c r="A58" t="s">
        <v>23</v>
      </c>
      <c r="B58" t="s">
        <v>46</v>
      </c>
      <c r="C58" s="70" t="s">
        <v>22</v>
      </c>
      <c r="D58" s="70"/>
      <c r="E58" s="3">
        <f t="shared" si="1"/>
        <v>43</v>
      </c>
      <c r="F58" s="15">
        <v>40.799999999999997</v>
      </c>
      <c r="G58" s="15">
        <v>1.2</v>
      </c>
      <c r="H58" s="15">
        <f t="shared" si="0"/>
        <v>39.599999999999994</v>
      </c>
      <c r="I58" s="4" t="s">
        <v>20</v>
      </c>
    </row>
    <row r="59" spans="1:9" x14ac:dyDescent="0.25">
      <c r="A59" t="s">
        <v>23</v>
      </c>
      <c r="B59" t="s">
        <v>46</v>
      </c>
      <c r="C59" s="70" t="s">
        <v>22</v>
      </c>
      <c r="D59" s="70"/>
      <c r="E59" s="3">
        <f t="shared" si="1"/>
        <v>44</v>
      </c>
      <c r="F59" s="15">
        <v>45.4</v>
      </c>
      <c r="G59" s="15">
        <v>1.5</v>
      </c>
      <c r="H59" s="15">
        <f t="shared" si="0"/>
        <v>43.9</v>
      </c>
      <c r="I59" s="4" t="s">
        <v>20</v>
      </c>
    </row>
    <row r="60" spans="1:9" x14ac:dyDescent="0.25">
      <c r="A60" t="s">
        <v>23</v>
      </c>
      <c r="B60" t="s">
        <v>46</v>
      </c>
      <c r="C60" s="70" t="s">
        <v>22</v>
      </c>
      <c r="D60" s="70"/>
      <c r="E60" s="3">
        <f t="shared" si="1"/>
        <v>45</v>
      </c>
      <c r="F60" s="15">
        <v>39.299999999999997</v>
      </c>
      <c r="G60" s="15">
        <v>1.5</v>
      </c>
      <c r="H60" s="15">
        <f t="shared" si="0"/>
        <v>37.799999999999997</v>
      </c>
      <c r="I60" s="4" t="s">
        <v>20</v>
      </c>
    </row>
    <row r="61" spans="1:9" x14ac:dyDescent="0.25">
      <c r="A61" t="s">
        <v>23</v>
      </c>
      <c r="B61" t="s">
        <v>46</v>
      </c>
      <c r="C61" s="70" t="s">
        <v>22</v>
      </c>
      <c r="D61" s="70"/>
      <c r="E61" s="3">
        <f t="shared" si="1"/>
        <v>46</v>
      </c>
      <c r="F61" s="15">
        <v>39.4</v>
      </c>
      <c r="G61" s="15">
        <v>1.2</v>
      </c>
      <c r="H61" s="15">
        <f t="shared" si="0"/>
        <v>38.199999999999996</v>
      </c>
      <c r="I61" s="4" t="s">
        <v>20</v>
      </c>
    </row>
    <row r="62" spans="1:9" x14ac:dyDescent="0.25">
      <c r="A62" t="s">
        <v>23</v>
      </c>
      <c r="B62" t="s">
        <v>46</v>
      </c>
      <c r="C62" s="70" t="s">
        <v>22</v>
      </c>
      <c r="D62" s="70"/>
      <c r="E62" s="3">
        <f t="shared" si="1"/>
        <v>47</v>
      </c>
      <c r="F62" s="15">
        <v>39.1</v>
      </c>
      <c r="G62" s="15">
        <v>1.1000000000000001</v>
      </c>
      <c r="H62" s="15">
        <f t="shared" si="0"/>
        <v>38</v>
      </c>
      <c r="I62" s="4" t="s">
        <v>20</v>
      </c>
    </row>
    <row r="63" spans="1:9" x14ac:dyDescent="0.25">
      <c r="A63" t="s">
        <v>23</v>
      </c>
      <c r="B63" t="s">
        <v>46</v>
      </c>
      <c r="C63" s="70" t="s">
        <v>22</v>
      </c>
      <c r="D63" s="70"/>
      <c r="E63" s="3">
        <f t="shared" si="1"/>
        <v>48</v>
      </c>
      <c r="F63" s="15">
        <v>40.9</v>
      </c>
      <c r="G63" s="15">
        <v>1.8</v>
      </c>
      <c r="H63" s="15">
        <f t="shared" si="0"/>
        <v>39.1</v>
      </c>
      <c r="I63" s="4" t="s">
        <v>20</v>
      </c>
    </row>
    <row r="64" spans="1:9" x14ac:dyDescent="0.25">
      <c r="A64" t="s">
        <v>23</v>
      </c>
      <c r="B64" t="s">
        <v>46</v>
      </c>
      <c r="C64" s="70" t="s">
        <v>22</v>
      </c>
      <c r="D64" s="70"/>
      <c r="E64" s="3">
        <f t="shared" si="1"/>
        <v>49</v>
      </c>
      <c r="F64" s="15">
        <v>38.5</v>
      </c>
      <c r="G64" s="15">
        <v>1.3</v>
      </c>
      <c r="H64" s="15">
        <f t="shared" si="0"/>
        <v>37.200000000000003</v>
      </c>
      <c r="I64" s="4" t="s">
        <v>20</v>
      </c>
    </row>
    <row r="65" spans="1:9" x14ac:dyDescent="0.25">
      <c r="A65" t="s">
        <v>23</v>
      </c>
      <c r="B65" t="s">
        <v>46</v>
      </c>
      <c r="C65" s="70" t="s">
        <v>22</v>
      </c>
      <c r="D65" s="70"/>
      <c r="E65" s="3">
        <f t="shared" si="1"/>
        <v>50</v>
      </c>
      <c r="F65" s="15">
        <v>38.1</v>
      </c>
      <c r="G65" s="15">
        <v>1.2</v>
      </c>
      <c r="H65" s="15">
        <f t="shared" si="0"/>
        <v>36.9</v>
      </c>
      <c r="I65" s="4" t="s">
        <v>20</v>
      </c>
    </row>
    <row r="66" spans="1:9" x14ac:dyDescent="0.25">
      <c r="A66" t="s">
        <v>23</v>
      </c>
      <c r="B66" t="s">
        <v>46</v>
      </c>
      <c r="C66" s="70" t="s">
        <v>22</v>
      </c>
      <c r="D66" s="70"/>
      <c r="E66" s="3">
        <f t="shared" si="1"/>
        <v>51</v>
      </c>
      <c r="F66" s="15">
        <v>33.700000000000003</v>
      </c>
      <c r="G66" s="15">
        <v>1.7</v>
      </c>
      <c r="H66" s="15">
        <f t="shared" si="0"/>
        <v>32</v>
      </c>
      <c r="I66" s="4" t="s">
        <v>20</v>
      </c>
    </row>
    <row r="67" spans="1:9" x14ac:dyDescent="0.25">
      <c r="A67" t="s">
        <v>23</v>
      </c>
      <c r="B67" t="s">
        <v>46</v>
      </c>
      <c r="C67" s="70" t="s">
        <v>22</v>
      </c>
      <c r="D67" s="70"/>
      <c r="E67" s="3">
        <f t="shared" si="1"/>
        <v>52</v>
      </c>
      <c r="F67" s="15">
        <v>35.9</v>
      </c>
      <c r="G67" s="15">
        <v>1.2</v>
      </c>
      <c r="H67" s="15">
        <f t="shared" si="0"/>
        <v>34.699999999999996</v>
      </c>
      <c r="I67" s="4" t="s">
        <v>20</v>
      </c>
    </row>
    <row r="68" spans="1:9" x14ac:dyDescent="0.25">
      <c r="A68" t="s">
        <v>23</v>
      </c>
      <c r="B68" t="s">
        <v>46</v>
      </c>
      <c r="C68" s="70" t="s">
        <v>22</v>
      </c>
      <c r="D68" s="70"/>
      <c r="E68" s="3">
        <f t="shared" si="1"/>
        <v>53</v>
      </c>
      <c r="F68" s="15">
        <v>38.799999999999997</v>
      </c>
      <c r="G68" s="15">
        <v>1</v>
      </c>
      <c r="H68" s="15">
        <f t="shared" si="0"/>
        <v>37.799999999999997</v>
      </c>
      <c r="I68" s="4" t="s">
        <v>20</v>
      </c>
    </row>
    <row r="69" spans="1:9" x14ac:dyDescent="0.25">
      <c r="A69" t="s">
        <v>23</v>
      </c>
      <c r="B69" t="s">
        <v>46</v>
      </c>
      <c r="C69" s="70" t="s">
        <v>22</v>
      </c>
      <c r="D69" s="70"/>
      <c r="E69" s="3">
        <f t="shared" si="1"/>
        <v>54</v>
      </c>
      <c r="F69" s="15">
        <v>40.200000000000003</v>
      </c>
      <c r="G69" s="15">
        <v>1.7</v>
      </c>
      <c r="H69" s="15">
        <f t="shared" si="0"/>
        <v>38.5</v>
      </c>
      <c r="I69" s="4" t="s">
        <v>20</v>
      </c>
    </row>
    <row r="70" spans="1:9" x14ac:dyDescent="0.25">
      <c r="A70" t="s">
        <v>23</v>
      </c>
      <c r="B70" t="s">
        <v>46</v>
      </c>
      <c r="C70" s="70" t="s">
        <v>22</v>
      </c>
      <c r="D70" s="70"/>
      <c r="E70" s="3">
        <f t="shared" si="1"/>
        <v>55</v>
      </c>
      <c r="F70" s="15">
        <v>36.9</v>
      </c>
      <c r="G70" s="15">
        <v>1</v>
      </c>
      <c r="H70" s="15">
        <f t="shared" si="0"/>
        <v>35.9</v>
      </c>
      <c r="I70" s="4" t="s">
        <v>20</v>
      </c>
    </row>
    <row r="71" spans="1:9" x14ac:dyDescent="0.25">
      <c r="A71" t="s">
        <v>23</v>
      </c>
      <c r="B71" t="s">
        <v>46</v>
      </c>
      <c r="C71" s="70" t="s">
        <v>22</v>
      </c>
      <c r="D71" s="70"/>
      <c r="E71" s="3">
        <f t="shared" si="1"/>
        <v>56</v>
      </c>
      <c r="F71" s="15">
        <v>39.299999999999997</v>
      </c>
      <c r="G71" s="15">
        <v>1.5</v>
      </c>
      <c r="H71" s="15">
        <f t="shared" si="0"/>
        <v>37.799999999999997</v>
      </c>
      <c r="I71" s="4" t="s">
        <v>20</v>
      </c>
    </row>
    <row r="72" spans="1:9" x14ac:dyDescent="0.25">
      <c r="A72" t="s">
        <v>23</v>
      </c>
      <c r="B72" t="s">
        <v>46</v>
      </c>
      <c r="C72" s="70" t="s">
        <v>22</v>
      </c>
      <c r="D72" s="70"/>
      <c r="E72" s="3">
        <f t="shared" si="1"/>
        <v>57</v>
      </c>
      <c r="F72" s="15">
        <v>37.6</v>
      </c>
      <c r="G72" s="15">
        <v>1.3</v>
      </c>
      <c r="H72" s="15">
        <f t="shared" si="0"/>
        <v>36.300000000000004</v>
      </c>
      <c r="I72" s="4" t="s">
        <v>20</v>
      </c>
    </row>
    <row r="73" spans="1:9" x14ac:dyDescent="0.25">
      <c r="A73" t="s">
        <v>23</v>
      </c>
      <c r="B73" t="s">
        <v>46</v>
      </c>
      <c r="C73" s="70" t="s">
        <v>22</v>
      </c>
      <c r="D73" s="70"/>
      <c r="E73" s="3">
        <f t="shared" si="1"/>
        <v>58</v>
      </c>
      <c r="F73" s="15">
        <v>36.1</v>
      </c>
      <c r="G73" s="15">
        <v>1</v>
      </c>
      <c r="H73" s="15">
        <f t="shared" si="0"/>
        <v>35.1</v>
      </c>
      <c r="I73" s="4" t="s">
        <v>20</v>
      </c>
    </row>
    <row r="74" spans="1:9" x14ac:dyDescent="0.25">
      <c r="A74" t="s">
        <v>23</v>
      </c>
      <c r="B74" t="s">
        <v>46</v>
      </c>
      <c r="C74" s="70" t="s">
        <v>22</v>
      </c>
      <c r="D74" s="70"/>
      <c r="E74" s="3">
        <f t="shared" si="1"/>
        <v>59</v>
      </c>
      <c r="F74" s="15">
        <v>41.6</v>
      </c>
      <c r="G74" s="15">
        <v>1.3</v>
      </c>
      <c r="H74" s="15">
        <f t="shared" si="0"/>
        <v>40.300000000000004</v>
      </c>
      <c r="I74" s="4" t="s">
        <v>20</v>
      </c>
    </row>
    <row r="75" spans="1:9" x14ac:dyDescent="0.25">
      <c r="A75" t="s">
        <v>23</v>
      </c>
      <c r="B75" t="s">
        <v>46</v>
      </c>
      <c r="C75" s="70" t="s">
        <v>22</v>
      </c>
      <c r="D75" s="70"/>
      <c r="E75" s="3">
        <f t="shared" si="1"/>
        <v>60</v>
      </c>
      <c r="F75" s="15">
        <v>37.1</v>
      </c>
      <c r="G75" s="15">
        <v>1.8</v>
      </c>
      <c r="H75" s="15">
        <f t="shared" si="0"/>
        <v>35.300000000000004</v>
      </c>
      <c r="I75" s="4" t="s">
        <v>20</v>
      </c>
    </row>
    <row r="76" spans="1:9" x14ac:dyDescent="0.25">
      <c r="A76" t="s">
        <v>23</v>
      </c>
      <c r="B76" t="s">
        <v>46</v>
      </c>
      <c r="C76" s="70" t="s">
        <v>22</v>
      </c>
      <c r="D76" s="70"/>
      <c r="E76" s="3">
        <f t="shared" si="1"/>
        <v>61</v>
      </c>
      <c r="F76" s="15">
        <v>37.799999999999997</v>
      </c>
      <c r="G76" s="15">
        <v>1.1000000000000001</v>
      </c>
      <c r="H76" s="15">
        <f t="shared" si="0"/>
        <v>36.699999999999996</v>
      </c>
      <c r="I76" s="4" t="s">
        <v>20</v>
      </c>
    </row>
    <row r="77" spans="1:9" x14ac:dyDescent="0.25">
      <c r="A77" t="s">
        <v>23</v>
      </c>
      <c r="B77" t="s">
        <v>46</v>
      </c>
      <c r="C77" s="70" t="s">
        <v>22</v>
      </c>
      <c r="D77" s="70"/>
      <c r="E77" s="3">
        <f t="shared" si="1"/>
        <v>62</v>
      </c>
      <c r="F77" s="15">
        <v>40.4</v>
      </c>
      <c r="G77" s="15">
        <v>1.1000000000000001</v>
      </c>
      <c r="H77" s="15">
        <f t="shared" si="0"/>
        <v>39.299999999999997</v>
      </c>
      <c r="I77" s="4" t="s">
        <v>20</v>
      </c>
    </row>
    <row r="78" spans="1:9" x14ac:dyDescent="0.25">
      <c r="A78" t="s">
        <v>23</v>
      </c>
      <c r="B78" t="s">
        <v>46</v>
      </c>
      <c r="C78" s="70" t="s">
        <v>22</v>
      </c>
      <c r="D78" s="70"/>
      <c r="E78" s="3">
        <f t="shared" si="1"/>
        <v>63</v>
      </c>
      <c r="F78" s="15">
        <v>44.9</v>
      </c>
      <c r="G78" s="15">
        <v>1.4</v>
      </c>
      <c r="H78" s="15">
        <f t="shared" si="0"/>
        <v>43.5</v>
      </c>
      <c r="I78" s="4" t="s">
        <v>20</v>
      </c>
    </row>
    <row r="79" spans="1:9" x14ac:dyDescent="0.25">
      <c r="A79" t="s">
        <v>23</v>
      </c>
      <c r="B79" t="s">
        <v>46</v>
      </c>
      <c r="C79" s="70" t="s">
        <v>22</v>
      </c>
      <c r="D79" s="70"/>
      <c r="E79" s="3">
        <f t="shared" si="1"/>
        <v>64</v>
      </c>
      <c r="F79" s="15">
        <v>47.9</v>
      </c>
      <c r="G79" s="15">
        <v>1.3</v>
      </c>
      <c r="H79" s="15">
        <f t="shared" si="0"/>
        <v>46.6</v>
      </c>
      <c r="I79" s="4" t="s">
        <v>20</v>
      </c>
    </row>
    <row r="80" spans="1:9" x14ac:dyDescent="0.25">
      <c r="A80" t="s">
        <v>23</v>
      </c>
      <c r="B80" t="s">
        <v>46</v>
      </c>
      <c r="C80" s="70" t="s">
        <v>22</v>
      </c>
      <c r="D80" s="70"/>
      <c r="E80" s="3">
        <f t="shared" si="1"/>
        <v>65</v>
      </c>
      <c r="F80" s="15">
        <v>44.3</v>
      </c>
      <c r="G80" s="15">
        <v>1</v>
      </c>
      <c r="H80" s="15">
        <f t="shared" si="0"/>
        <v>43.3</v>
      </c>
      <c r="I80" s="4" t="s">
        <v>20</v>
      </c>
    </row>
    <row r="81" spans="1:9" x14ac:dyDescent="0.25">
      <c r="A81" t="s">
        <v>23</v>
      </c>
      <c r="B81" t="s">
        <v>46</v>
      </c>
      <c r="C81" s="70" t="s">
        <v>22</v>
      </c>
      <c r="D81" s="70"/>
      <c r="E81" s="3">
        <f t="shared" si="1"/>
        <v>66</v>
      </c>
      <c r="F81" s="15">
        <v>40.1</v>
      </c>
      <c r="G81" s="15">
        <v>1</v>
      </c>
      <c r="H81" s="15">
        <f t="shared" ref="H81:H98" si="2">F81-G81</f>
        <v>39.1</v>
      </c>
      <c r="I81" s="4" t="s">
        <v>20</v>
      </c>
    </row>
    <row r="82" spans="1:9" x14ac:dyDescent="0.25">
      <c r="A82" t="s">
        <v>23</v>
      </c>
      <c r="B82" t="s">
        <v>46</v>
      </c>
      <c r="C82" s="70" t="s">
        <v>22</v>
      </c>
      <c r="D82" s="70"/>
      <c r="E82" s="3">
        <f t="shared" ref="E82:E100" si="3">E81+1</f>
        <v>67</v>
      </c>
      <c r="F82" s="15">
        <v>43.6</v>
      </c>
      <c r="G82" s="15">
        <v>1.4</v>
      </c>
      <c r="H82" s="15">
        <f t="shared" si="2"/>
        <v>42.2</v>
      </c>
      <c r="I82" s="4" t="s">
        <v>20</v>
      </c>
    </row>
    <row r="83" spans="1:9" x14ac:dyDescent="0.25">
      <c r="A83" t="s">
        <v>23</v>
      </c>
      <c r="B83" t="s">
        <v>46</v>
      </c>
      <c r="C83" s="70" t="s">
        <v>22</v>
      </c>
      <c r="D83" s="70"/>
      <c r="E83" s="3">
        <f t="shared" si="3"/>
        <v>68</v>
      </c>
      <c r="F83" s="15">
        <v>45.9</v>
      </c>
      <c r="G83" s="15">
        <v>1.2</v>
      </c>
      <c r="H83" s="15">
        <f t="shared" si="2"/>
        <v>44.699999999999996</v>
      </c>
      <c r="I83" s="4" t="s">
        <v>20</v>
      </c>
    </row>
    <row r="84" spans="1:9" x14ac:dyDescent="0.25">
      <c r="A84" t="s">
        <v>23</v>
      </c>
      <c r="B84" t="s">
        <v>46</v>
      </c>
      <c r="C84" s="70" t="s">
        <v>22</v>
      </c>
      <c r="D84" s="70"/>
      <c r="E84" s="3">
        <f t="shared" si="3"/>
        <v>69</v>
      </c>
      <c r="F84" s="15">
        <v>44.9</v>
      </c>
      <c r="G84" s="15">
        <v>1</v>
      </c>
      <c r="H84" s="15">
        <f t="shared" si="2"/>
        <v>43.9</v>
      </c>
      <c r="I84" s="4" t="s">
        <v>20</v>
      </c>
    </row>
    <row r="85" spans="1:9" x14ac:dyDescent="0.25">
      <c r="A85" t="s">
        <v>23</v>
      </c>
      <c r="B85" t="s">
        <v>46</v>
      </c>
      <c r="C85" s="70" t="s">
        <v>22</v>
      </c>
      <c r="D85" s="70"/>
      <c r="E85" s="3">
        <f t="shared" si="3"/>
        <v>70</v>
      </c>
      <c r="F85" s="15">
        <v>45.5</v>
      </c>
      <c r="G85" s="15">
        <v>1.5</v>
      </c>
      <c r="H85" s="15">
        <f t="shared" ref="H85:H92" si="4">F85-G85</f>
        <v>44</v>
      </c>
      <c r="I85" s="4" t="s">
        <v>20</v>
      </c>
    </row>
    <row r="86" spans="1:9" x14ac:dyDescent="0.25">
      <c r="A86" t="s">
        <v>23</v>
      </c>
      <c r="B86" t="s">
        <v>46</v>
      </c>
      <c r="C86" s="70" t="s">
        <v>22</v>
      </c>
      <c r="D86" s="70"/>
      <c r="E86" s="3">
        <f t="shared" si="3"/>
        <v>71</v>
      </c>
      <c r="F86" s="15">
        <v>45.2</v>
      </c>
      <c r="G86" s="15">
        <v>1.1000000000000001</v>
      </c>
      <c r="H86" s="15">
        <f t="shared" si="4"/>
        <v>44.1</v>
      </c>
      <c r="I86" s="4" t="s">
        <v>20</v>
      </c>
    </row>
    <row r="87" spans="1:9" x14ac:dyDescent="0.25">
      <c r="A87" t="s">
        <v>23</v>
      </c>
      <c r="B87" t="s">
        <v>46</v>
      </c>
      <c r="C87" s="70" t="s">
        <v>22</v>
      </c>
      <c r="D87" s="70"/>
      <c r="E87" s="3">
        <f t="shared" si="3"/>
        <v>72</v>
      </c>
      <c r="F87" s="15">
        <v>45.6</v>
      </c>
      <c r="G87" s="15">
        <v>1</v>
      </c>
      <c r="H87" s="15">
        <f t="shared" si="4"/>
        <v>44.6</v>
      </c>
      <c r="I87" s="4" t="s">
        <v>20</v>
      </c>
    </row>
    <row r="88" spans="1:9" x14ac:dyDescent="0.25">
      <c r="A88" t="s">
        <v>23</v>
      </c>
      <c r="B88" t="s">
        <v>46</v>
      </c>
      <c r="C88" s="70" t="s">
        <v>22</v>
      </c>
      <c r="D88" s="70"/>
      <c r="E88" s="3">
        <f t="shared" si="3"/>
        <v>73</v>
      </c>
      <c r="F88" s="15">
        <v>44.8</v>
      </c>
      <c r="G88" s="15">
        <v>1.3</v>
      </c>
      <c r="H88" s="15">
        <f t="shared" si="4"/>
        <v>43.5</v>
      </c>
      <c r="I88" s="4" t="s">
        <v>20</v>
      </c>
    </row>
    <row r="89" spans="1:9" x14ac:dyDescent="0.25">
      <c r="A89" t="s">
        <v>23</v>
      </c>
      <c r="B89" t="s">
        <v>46</v>
      </c>
      <c r="C89" s="70" t="s">
        <v>22</v>
      </c>
      <c r="D89" s="70"/>
      <c r="E89" s="3">
        <f t="shared" si="3"/>
        <v>74</v>
      </c>
      <c r="F89" s="15">
        <v>44.9</v>
      </c>
      <c r="G89" s="15">
        <v>1.2</v>
      </c>
      <c r="H89" s="15">
        <f t="shared" si="4"/>
        <v>43.699999999999996</v>
      </c>
      <c r="I89" s="4" t="s">
        <v>20</v>
      </c>
    </row>
    <row r="90" spans="1:9" x14ac:dyDescent="0.25">
      <c r="A90" t="s">
        <v>23</v>
      </c>
      <c r="B90" t="s">
        <v>46</v>
      </c>
      <c r="C90" s="70" t="s">
        <v>22</v>
      </c>
      <c r="D90" s="70"/>
      <c r="E90" s="3">
        <f t="shared" si="3"/>
        <v>75</v>
      </c>
      <c r="F90" s="15">
        <v>44.9</v>
      </c>
      <c r="G90" s="15">
        <v>1.3</v>
      </c>
      <c r="H90" s="15">
        <f t="shared" si="4"/>
        <v>43.6</v>
      </c>
      <c r="I90" s="4" t="s">
        <v>20</v>
      </c>
    </row>
    <row r="91" spans="1:9" x14ac:dyDescent="0.25">
      <c r="A91" t="s">
        <v>23</v>
      </c>
      <c r="B91" t="s">
        <v>46</v>
      </c>
      <c r="C91" s="70" t="s">
        <v>22</v>
      </c>
      <c r="D91" s="70"/>
      <c r="E91" s="3">
        <f t="shared" si="3"/>
        <v>76</v>
      </c>
      <c r="F91" s="15">
        <v>44.4</v>
      </c>
      <c r="G91" s="15">
        <v>1.5</v>
      </c>
      <c r="H91" s="15">
        <f t="shared" si="4"/>
        <v>42.9</v>
      </c>
      <c r="I91" s="4" t="s">
        <v>20</v>
      </c>
    </row>
    <row r="92" spans="1:9" x14ac:dyDescent="0.25">
      <c r="A92" t="s">
        <v>23</v>
      </c>
      <c r="B92" t="s">
        <v>46</v>
      </c>
      <c r="C92" s="70" t="s">
        <v>22</v>
      </c>
      <c r="D92" s="70"/>
      <c r="E92" s="3">
        <f t="shared" si="3"/>
        <v>77</v>
      </c>
      <c r="F92" s="15">
        <v>42.2</v>
      </c>
      <c r="G92" s="15">
        <v>1.2</v>
      </c>
      <c r="H92" s="15">
        <f t="shared" si="4"/>
        <v>41</v>
      </c>
      <c r="I92" s="4" t="s">
        <v>20</v>
      </c>
    </row>
    <row r="93" spans="1:9" x14ac:dyDescent="0.25">
      <c r="A93" t="s">
        <v>23</v>
      </c>
      <c r="B93" t="s">
        <v>46</v>
      </c>
      <c r="C93" s="70" t="s">
        <v>22</v>
      </c>
      <c r="D93" s="70"/>
      <c r="E93" s="3">
        <f t="shared" si="3"/>
        <v>78</v>
      </c>
      <c r="F93" s="15">
        <v>45.1</v>
      </c>
      <c r="G93" s="15">
        <v>1.1000000000000001</v>
      </c>
      <c r="H93" s="15">
        <f t="shared" si="2"/>
        <v>44</v>
      </c>
      <c r="I93" s="4" t="s">
        <v>20</v>
      </c>
    </row>
    <row r="94" spans="1:9" x14ac:dyDescent="0.25">
      <c r="A94" t="s">
        <v>23</v>
      </c>
      <c r="B94" t="s">
        <v>46</v>
      </c>
      <c r="C94" s="70" t="s">
        <v>22</v>
      </c>
      <c r="D94" s="70"/>
      <c r="E94" s="3">
        <f t="shared" si="3"/>
        <v>79</v>
      </c>
      <c r="F94" s="15">
        <v>45.5</v>
      </c>
      <c r="G94" s="15">
        <v>1</v>
      </c>
      <c r="H94" s="15">
        <f t="shared" si="2"/>
        <v>44.5</v>
      </c>
      <c r="I94" s="4" t="s">
        <v>20</v>
      </c>
    </row>
    <row r="95" spans="1:9" x14ac:dyDescent="0.25">
      <c r="A95" t="s">
        <v>23</v>
      </c>
      <c r="B95" t="s">
        <v>46</v>
      </c>
      <c r="C95" s="70" t="s">
        <v>22</v>
      </c>
      <c r="D95" s="70"/>
      <c r="E95" s="3">
        <f t="shared" si="3"/>
        <v>80</v>
      </c>
      <c r="F95" s="15">
        <v>46.4</v>
      </c>
      <c r="G95" s="15">
        <v>1.3</v>
      </c>
      <c r="H95" s="15">
        <f t="shared" si="2"/>
        <v>45.1</v>
      </c>
      <c r="I95" s="4" t="s">
        <v>20</v>
      </c>
    </row>
    <row r="96" spans="1:9" x14ac:dyDescent="0.25">
      <c r="A96" t="s">
        <v>23</v>
      </c>
      <c r="B96" t="s">
        <v>46</v>
      </c>
      <c r="C96" s="70" t="s">
        <v>22</v>
      </c>
      <c r="D96" s="70"/>
      <c r="E96" s="3">
        <f t="shared" si="3"/>
        <v>81</v>
      </c>
      <c r="F96" s="15">
        <v>38</v>
      </c>
      <c r="G96" s="15">
        <v>1.1000000000000001</v>
      </c>
      <c r="H96" s="15">
        <f t="shared" si="2"/>
        <v>36.9</v>
      </c>
      <c r="I96" s="4" t="s">
        <v>20</v>
      </c>
    </row>
    <row r="97" spans="1:9" x14ac:dyDescent="0.25">
      <c r="A97" t="s">
        <v>23</v>
      </c>
      <c r="B97" t="s">
        <v>46</v>
      </c>
      <c r="C97" s="70" t="s">
        <v>22</v>
      </c>
      <c r="D97" s="70"/>
      <c r="E97" s="3">
        <f t="shared" si="3"/>
        <v>82</v>
      </c>
      <c r="F97" s="15">
        <v>42.5</v>
      </c>
      <c r="G97" s="15">
        <v>1</v>
      </c>
      <c r="H97" s="15">
        <f t="shared" si="2"/>
        <v>41.5</v>
      </c>
      <c r="I97" s="4" t="s">
        <v>20</v>
      </c>
    </row>
    <row r="98" spans="1:9" x14ac:dyDescent="0.25">
      <c r="A98" t="s">
        <v>23</v>
      </c>
      <c r="B98" t="s">
        <v>46</v>
      </c>
      <c r="C98" s="70" t="s">
        <v>22</v>
      </c>
      <c r="D98" s="70"/>
      <c r="E98" s="3">
        <f t="shared" si="3"/>
        <v>83</v>
      </c>
      <c r="F98" s="15">
        <v>47.9</v>
      </c>
      <c r="G98" s="15">
        <v>1.1000000000000001</v>
      </c>
      <c r="H98" s="15">
        <f t="shared" si="2"/>
        <v>46.8</v>
      </c>
      <c r="I98" s="4" t="s">
        <v>20</v>
      </c>
    </row>
    <row r="99" spans="1:9" x14ac:dyDescent="0.25">
      <c r="A99" t="s">
        <v>23</v>
      </c>
      <c r="B99" t="s">
        <v>46</v>
      </c>
      <c r="C99" s="70" t="s">
        <v>22</v>
      </c>
      <c r="D99" s="70"/>
      <c r="E99" s="3">
        <f t="shared" si="3"/>
        <v>84</v>
      </c>
      <c r="F99" s="15">
        <v>45.7</v>
      </c>
      <c r="G99" s="15">
        <v>1.3</v>
      </c>
      <c r="H99" s="15">
        <f t="shared" ref="H99:H100" si="5">F99-G99</f>
        <v>44.400000000000006</v>
      </c>
      <c r="I99" s="4" t="s">
        <v>20</v>
      </c>
    </row>
    <row r="100" spans="1:9" ht="15.75" thickBot="1" x14ac:dyDescent="0.3">
      <c r="A100" t="s">
        <v>23</v>
      </c>
      <c r="B100" t="s">
        <v>46</v>
      </c>
      <c r="C100" s="70" t="s">
        <v>22</v>
      </c>
      <c r="D100" s="70"/>
      <c r="E100" s="3">
        <f t="shared" si="3"/>
        <v>85</v>
      </c>
      <c r="F100" s="15">
        <v>39.5</v>
      </c>
      <c r="G100" s="15">
        <v>1.1000000000000001</v>
      </c>
      <c r="H100" s="15">
        <f t="shared" si="5"/>
        <v>38.4</v>
      </c>
      <c r="I100" s="4" t="s">
        <v>20</v>
      </c>
    </row>
    <row r="101" spans="1:9" ht="16.5" thickTop="1" thickBot="1" x14ac:dyDescent="0.3">
      <c r="A101" s="75" t="s">
        <v>27</v>
      </c>
      <c r="B101" s="75"/>
      <c r="C101" s="75"/>
      <c r="D101" s="75"/>
      <c r="E101" s="12">
        <f>E100</f>
        <v>85</v>
      </c>
      <c r="F101" s="14">
        <f>SUM(F16:F100)</f>
        <v>3391.0000000000005</v>
      </c>
      <c r="G101" s="14">
        <f>SUM(G16:G100)</f>
        <v>105.19999999999997</v>
      </c>
      <c r="H101" s="14">
        <f>SUM(H16:H98)</f>
        <v>3203</v>
      </c>
      <c r="I101" s="13"/>
    </row>
    <row r="102" spans="1:9" ht="6.75" customHeight="1" thickTop="1" x14ac:dyDescent="0.25"/>
    <row r="103" spans="1:9" ht="15.75" thickBot="1" x14ac:dyDescent="0.3">
      <c r="A103" s="1" t="s">
        <v>29</v>
      </c>
    </row>
    <row r="104" spans="1:9" ht="30" customHeight="1" thickTop="1" thickBot="1" x14ac:dyDescent="0.3">
      <c r="A104" s="9" t="s">
        <v>7</v>
      </c>
      <c r="B104" s="9" t="s">
        <v>2</v>
      </c>
      <c r="C104" s="73" t="s">
        <v>6</v>
      </c>
      <c r="D104" s="73"/>
      <c r="E104" s="11" t="s">
        <v>30</v>
      </c>
      <c r="F104" s="11" t="s">
        <v>31</v>
      </c>
      <c r="G104" s="11" t="s">
        <v>32</v>
      </c>
      <c r="H104" s="11" t="s">
        <v>33</v>
      </c>
      <c r="I104" s="11" t="s">
        <v>37</v>
      </c>
    </row>
    <row r="105" spans="1:9" x14ac:dyDescent="0.25">
      <c r="A105" t="s">
        <v>23</v>
      </c>
      <c r="B105" t="str">
        <f>B100</f>
        <v>MADURA</v>
      </c>
      <c r="C105" s="76" t="s">
        <v>22</v>
      </c>
      <c r="D105" s="76"/>
      <c r="E105" s="15">
        <v>2936.8</v>
      </c>
      <c r="F105" s="15">
        <v>201.9</v>
      </c>
      <c r="G105" s="15">
        <v>60.7</v>
      </c>
      <c r="H105" s="15">
        <f>IF(E105="","",(H101-E105-F105-G105))</f>
        <v>3.5999999999998096</v>
      </c>
      <c r="I105" s="15">
        <f>IF(E105="","",SUM(E105:H105))</f>
        <v>3203</v>
      </c>
    </row>
    <row r="106" spans="1:9" ht="16.5" thickTop="1" thickBot="1" x14ac:dyDescent="0.3">
      <c r="A106" s="77" t="s">
        <v>52</v>
      </c>
      <c r="B106" s="77"/>
      <c r="C106" s="77"/>
      <c r="D106" s="77"/>
      <c r="E106" s="20">
        <f>IF(E105="","",E105/$H101)</f>
        <v>0.91689041523571657</v>
      </c>
      <c r="F106" s="32">
        <f>IF(F105="","",F105/$H101)</f>
        <v>6.3034655010927254E-2</v>
      </c>
      <c r="G106" s="54">
        <f t="shared" ref="G106:H106" si="6">IF(G105="","",G105/$H101)</f>
        <v>1.8950983453012802E-2</v>
      </c>
      <c r="H106" s="32">
        <f t="shared" si="6"/>
        <v>1.1239463003433687E-3</v>
      </c>
      <c r="I106" s="17">
        <f>IF(I105="","",SUM(E106:H106))</f>
        <v>1</v>
      </c>
    </row>
    <row r="107" spans="1:9" ht="15.75" thickTop="1" x14ac:dyDescent="0.25">
      <c r="A107" s="19" t="s">
        <v>16</v>
      </c>
    </row>
    <row r="108" spans="1:9" ht="10.5" customHeight="1" x14ac:dyDescent="0.25">
      <c r="A108" s="7" t="s">
        <v>36</v>
      </c>
    </row>
    <row r="109" spans="1:9" ht="10.5" customHeight="1" x14ac:dyDescent="0.25">
      <c r="A109" s="7" t="s">
        <v>35</v>
      </c>
    </row>
    <row r="110" spans="1:9" ht="10.5" customHeight="1" x14ac:dyDescent="0.25">
      <c r="A110" s="7" t="s">
        <v>34</v>
      </c>
    </row>
    <row r="111" spans="1:9" ht="10.5" customHeight="1" x14ac:dyDescent="0.25">
      <c r="A111" s="7" t="s">
        <v>50</v>
      </c>
    </row>
    <row r="112" spans="1:9" ht="6" customHeight="1" x14ac:dyDescent="0.25"/>
  </sheetData>
  <mergeCells count="92">
    <mergeCell ref="C24:D24"/>
    <mergeCell ref="A1:I1"/>
    <mergeCell ref="A13:I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36:D36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48:D48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60:D60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72:D72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84:D84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A101:D101"/>
    <mergeCell ref="C104:D104"/>
    <mergeCell ref="C105:D105"/>
    <mergeCell ref="A106:D106"/>
    <mergeCell ref="C93:D93"/>
    <mergeCell ref="C94:D94"/>
    <mergeCell ref="C95:D95"/>
    <mergeCell ref="C96:D96"/>
    <mergeCell ref="C91:D91"/>
    <mergeCell ref="C92:D92"/>
    <mergeCell ref="C99:D99"/>
    <mergeCell ref="C100:D100"/>
    <mergeCell ref="C85:D85"/>
    <mergeCell ref="C86:D86"/>
    <mergeCell ref="C87:D87"/>
    <mergeCell ref="C88:D88"/>
    <mergeCell ref="C89:D89"/>
    <mergeCell ref="C90:D90"/>
    <mergeCell ref="C97:D97"/>
    <mergeCell ref="C98:D98"/>
  </mergeCells>
  <pageMargins left="0" right="0" top="0" bottom="0" header="0" footer="0"/>
  <pageSetup paperSize="346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17DC-3B24-4789-813B-12EC2ECBA2F7}">
  <sheetPr>
    <tabColor rgb="FF00B050"/>
  </sheetPr>
  <dimension ref="A1:N195"/>
  <sheetViews>
    <sheetView showGridLines="0" workbookViewId="0">
      <selection activeCell="A3" sqref="A3:XFD11"/>
    </sheetView>
  </sheetViews>
  <sheetFormatPr defaultRowHeight="15" x14ac:dyDescent="0.25"/>
  <cols>
    <col min="1" max="1" width="13" customWidth="1"/>
    <col min="2" max="2" width="12.85546875" customWidth="1"/>
    <col min="3" max="3" width="9.85546875" customWidth="1"/>
    <col min="4" max="4" width="8.85546875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3.42578125" customWidth="1"/>
    <col min="11" max="14" width="9.140625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142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46221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46</v>
      </c>
      <c r="C7" s="4">
        <v>168</v>
      </c>
      <c r="D7" s="4" t="s">
        <v>22</v>
      </c>
      <c r="E7" s="15">
        <f>F184</f>
        <v>7158.6000000000049</v>
      </c>
      <c r="F7" s="15">
        <f>G184</f>
        <v>199.39999999999975</v>
      </c>
      <c r="G7" s="15">
        <f>E7-F7</f>
        <v>6959.2000000000053</v>
      </c>
      <c r="H7" s="6">
        <v>46209</v>
      </c>
      <c r="I7" s="6" t="s">
        <v>20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143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148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  <c r="K15" s="59" t="s">
        <v>171</v>
      </c>
    </row>
    <row r="16" spans="1:12" ht="15.75" thickTop="1" x14ac:dyDescent="0.25">
      <c r="A16" t="s">
        <v>23</v>
      </c>
      <c r="B16" t="s">
        <v>46</v>
      </c>
      <c r="C16" s="74" t="s">
        <v>22</v>
      </c>
      <c r="D16" s="74"/>
      <c r="E16" s="3">
        <v>1</v>
      </c>
      <c r="F16" s="15">
        <v>42.7</v>
      </c>
      <c r="G16" s="15">
        <v>1.2</v>
      </c>
      <c r="H16" s="15">
        <f>F16-G16</f>
        <v>41.5</v>
      </c>
      <c r="I16" s="4" t="s">
        <v>20</v>
      </c>
    </row>
    <row r="17" spans="1:12" x14ac:dyDescent="0.25">
      <c r="A17" t="s">
        <v>23</v>
      </c>
      <c r="B17" t="s">
        <v>46</v>
      </c>
      <c r="C17" s="70" t="s">
        <v>22</v>
      </c>
      <c r="D17" s="70"/>
      <c r="E17" s="3">
        <f>E16+1</f>
        <v>2</v>
      </c>
      <c r="F17" s="15">
        <v>43.9</v>
      </c>
      <c r="G17" s="15">
        <v>1.1000000000000001</v>
      </c>
      <c r="H17" s="15">
        <f t="shared" ref="H17:H80" si="0">F17-G17</f>
        <v>42.8</v>
      </c>
      <c r="I17" s="4" t="s">
        <v>20</v>
      </c>
      <c r="K17" s="3">
        <v>12</v>
      </c>
    </row>
    <row r="18" spans="1:12" x14ac:dyDescent="0.25">
      <c r="A18" t="s">
        <v>23</v>
      </c>
      <c r="B18" t="s">
        <v>46</v>
      </c>
      <c r="C18" s="70" t="s">
        <v>22</v>
      </c>
      <c r="D18" s="70"/>
      <c r="E18" s="3">
        <f t="shared" ref="E18:E81" si="1">E17+1</f>
        <v>3</v>
      </c>
      <c r="F18" s="15">
        <v>40.9</v>
      </c>
      <c r="G18" s="15">
        <v>1.1000000000000001</v>
      </c>
      <c r="H18" s="15">
        <f t="shared" si="0"/>
        <v>39.799999999999997</v>
      </c>
      <c r="I18" s="4" t="s">
        <v>20</v>
      </c>
      <c r="K18" s="3">
        <v>28</v>
      </c>
    </row>
    <row r="19" spans="1:12" x14ac:dyDescent="0.25">
      <c r="A19" t="s">
        <v>23</v>
      </c>
      <c r="B19" t="s">
        <v>46</v>
      </c>
      <c r="C19" s="70" t="s">
        <v>22</v>
      </c>
      <c r="D19" s="70"/>
      <c r="E19" s="3">
        <f t="shared" si="1"/>
        <v>4</v>
      </c>
      <c r="F19" s="15">
        <v>49.5</v>
      </c>
      <c r="G19" s="15">
        <v>1.3</v>
      </c>
      <c r="H19" s="15">
        <f t="shared" si="0"/>
        <v>48.2</v>
      </c>
      <c r="I19" s="4" t="s">
        <v>20</v>
      </c>
      <c r="K19" s="3">
        <v>46</v>
      </c>
    </row>
    <row r="20" spans="1:12" x14ac:dyDescent="0.25">
      <c r="A20" t="s">
        <v>23</v>
      </c>
      <c r="B20" t="s">
        <v>46</v>
      </c>
      <c r="C20" s="70" t="s">
        <v>22</v>
      </c>
      <c r="D20" s="70"/>
      <c r="E20" s="3">
        <f t="shared" si="1"/>
        <v>5</v>
      </c>
      <c r="F20" s="15">
        <v>42.6</v>
      </c>
      <c r="G20" s="15">
        <v>1</v>
      </c>
      <c r="H20" s="15">
        <f t="shared" si="0"/>
        <v>41.6</v>
      </c>
      <c r="I20" s="4" t="s">
        <v>20</v>
      </c>
      <c r="K20" s="3">
        <v>51</v>
      </c>
    </row>
    <row r="21" spans="1:12" x14ac:dyDescent="0.25">
      <c r="A21" t="s">
        <v>23</v>
      </c>
      <c r="B21" t="s">
        <v>46</v>
      </c>
      <c r="C21" s="70" t="s">
        <v>22</v>
      </c>
      <c r="D21" s="70"/>
      <c r="E21" s="3">
        <f t="shared" si="1"/>
        <v>6</v>
      </c>
      <c r="F21" s="15">
        <v>46.5</v>
      </c>
      <c r="G21" s="15">
        <v>1</v>
      </c>
      <c r="H21" s="15">
        <f t="shared" si="0"/>
        <v>45.5</v>
      </c>
      <c r="I21" s="4" t="s">
        <v>20</v>
      </c>
      <c r="K21" s="3">
        <v>64</v>
      </c>
    </row>
    <row r="22" spans="1:12" x14ac:dyDescent="0.25">
      <c r="A22" t="s">
        <v>23</v>
      </c>
      <c r="B22" t="s">
        <v>46</v>
      </c>
      <c r="C22" s="70" t="s">
        <v>22</v>
      </c>
      <c r="D22" s="70"/>
      <c r="E22" s="3">
        <f t="shared" si="1"/>
        <v>7</v>
      </c>
      <c r="F22" s="15">
        <v>46.3</v>
      </c>
      <c r="G22" s="15">
        <v>1</v>
      </c>
      <c r="H22" s="15">
        <f t="shared" si="0"/>
        <v>45.3</v>
      </c>
      <c r="I22" s="4" t="s">
        <v>20</v>
      </c>
      <c r="K22" s="3">
        <v>29</v>
      </c>
    </row>
    <row r="23" spans="1:12" x14ac:dyDescent="0.25">
      <c r="A23" t="s">
        <v>23</v>
      </c>
      <c r="B23" t="s">
        <v>46</v>
      </c>
      <c r="C23" s="70" t="s">
        <v>22</v>
      </c>
      <c r="D23" s="70"/>
      <c r="E23" s="3">
        <f t="shared" si="1"/>
        <v>8</v>
      </c>
      <c r="F23" s="15">
        <v>44</v>
      </c>
      <c r="G23" s="15">
        <v>0.8</v>
      </c>
      <c r="H23" s="15">
        <f t="shared" si="0"/>
        <v>43.2</v>
      </c>
      <c r="I23" s="4" t="s">
        <v>20</v>
      </c>
      <c r="K23" s="3">
        <v>6</v>
      </c>
    </row>
    <row r="24" spans="1:12" x14ac:dyDescent="0.25">
      <c r="A24" t="s">
        <v>23</v>
      </c>
      <c r="B24" t="s">
        <v>46</v>
      </c>
      <c r="C24" s="70" t="s">
        <v>22</v>
      </c>
      <c r="D24" s="70"/>
      <c r="E24" s="3">
        <f t="shared" si="1"/>
        <v>9</v>
      </c>
      <c r="F24" s="15">
        <v>44</v>
      </c>
      <c r="G24" s="15">
        <v>0.8</v>
      </c>
      <c r="H24" s="15">
        <f t="shared" si="0"/>
        <v>43.2</v>
      </c>
      <c r="I24" s="4" t="s">
        <v>20</v>
      </c>
      <c r="K24" s="3">
        <v>9</v>
      </c>
    </row>
    <row r="25" spans="1:12" x14ac:dyDescent="0.25">
      <c r="A25" t="s">
        <v>23</v>
      </c>
      <c r="B25" t="s">
        <v>46</v>
      </c>
      <c r="C25" s="70" t="s">
        <v>22</v>
      </c>
      <c r="D25" s="70"/>
      <c r="E25" s="3">
        <f t="shared" si="1"/>
        <v>10</v>
      </c>
      <c r="F25" s="15">
        <v>41.9</v>
      </c>
      <c r="G25" s="15">
        <v>1.3</v>
      </c>
      <c r="H25" s="15">
        <f t="shared" si="0"/>
        <v>40.6</v>
      </c>
      <c r="I25" s="4" t="s">
        <v>20</v>
      </c>
      <c r="K25" s="3">
        <f>SUM(K17:K24)</f>
        <v>245</v>
      </c>
      <c r="L25">
        <f>K25*25</f>
        <v>6125</v>
      </c>
    </row>
    <row r="26" spans="1:12" x14ac:dyDescent="0.25">
      <c r="A26" t="s">
        <v>23</v>
      </c>
      <c r="B26" t="s">
        <v>46</v>
      </c>
      <c r="C26" s="70" t="s">
        <v>22</v>
      </c>
      <c r="D26" s="70"/>
      <c r="E26" s="3">
        <f t="shared" si="1"/>
        <v>11</v>
      </c>
      <c r="F26" s="15">
        <v>44.9</v>
      </c>
      <c r="G26" s="15">
        <v>1.2</v>
      </c>
      <c r="H26" s="15">
        <f t="shared" si="0"/>
        <v>43.699999999999996</v>
      </c>
      <c r="I26" s="4" t="s">
        <v>20</v>
      </c>
      <c r="L26">
        <v>20.399999999999999</v>
      </c>
    </row>
    <row r="27" spans="1:12" x14ac:dyDescent="0.25">
      <c r="A27" t="s">
        <v>23</v>
      </c>
      <c r="B27" t="s">
        <v>46</v>
      </c>
      <c r="C27" s="70" t="s">
        <v>22</v>
      </c>
      <c r="D27" s="70"/>
      <c r="E27" s="3">
        <f t="shared" si="1"/>
        <v>12</v>
      </c>
      <c r="F27" s="15">
        <v>42.6</v>
      </c>
      <c r="G27" s="15">
        <v>1.4</v>
      </c>
      <c r="H27" s="15">
        <f t="shared" si="0"/>
        <v>41.2</v>
      </c>
      <c r="I27" s="4" t="s">
        <v>20</v>
      </c>
      <c r="L27">
        <f>SUM(L25:L26)</f>
        <v>6145.4</v>
      </c>
    </row>
    <row r="28" spans="1:12" x14ac:dyDescent="0.25">
      <c r="A28" t="s">
        <v>23</v>
      </c>
      <c r="B28" t="s">
        <v>46</v>
      </c>
      <c r="C28" s="70" t="s">
        <v>22</v>
      </c>
      <c r="D28" s="70"/>
      <c r="E28" s="3">
        <f t="shared" si="1"/>
        <v>13</v>
      </c>
      <c r="F28" s="15">
        <v>41</v>
      </c>
      <c r="G28" s="15">
        <v>0.9</v>
      </c>
      <c r="H28" s="15">
        <f t="shared" si="0"/>
        <v>40.1</v>
      </c>
      <c r="I28" s="4" t="s">
        <v>20</v>
      </c>
    </row>
    <row r="29" spans="1:12" x14ac:dyDescent="0.25">
      <c r="A29" t="s">
        <v>23</v>
      </c>
      <c r="B29" t="s">
        <v>46</v>
      </c>
      <c r="C29" s="70" t="s">
        <v>22</v>
      </c>
      <c r="D29" s="70"/>
      <c r="E29" s="3">
        <f t="shared" si="1"/>
        <v>14</v>
      </c>
      <c r="F29" s="15">
        <v>43.7</v>
      </c>
      <c r="G29" s="15">
        <v>0.8</v>
      </c>
      <c r="H29" s="15">
        <f t="shared" si="0"/>
        <v>42.900000000000006</v>
      </c>
      <c r="I29" s="4" t="s">
        <v>20</v>
      </c>
    </row>
    <row r="30" spans="1:12" x14ac:dyDescent="0.25">
      <c r="A30" t="s">
        <v>23</v>
      </c>
      <c r="B30" t="s">
        <v>46</v>
      </c>
      <c r="C30" s="70" t="s">
        <v>22</v>
      </c>
      <c r="D30" s="70"/>
      <c r="E30" s="3">
        <f t="shared" si="1"/>
        <v>15</v>
      </c>
      <c r="F30" s="15">
        <v>43.2</v>
      </c>
      <c r="G30" s="15">
        <v>1.1000000000000001</v>
      </c>
      <c r="H30" s="15">
        <f t="shared" si="0"/>
        <v>42.1</v>
      </c>
      <c r="I30" s="4" t="s">
        <v>20</v>
      </c>
    </row>
    <row r="31" spans="1:12" x14ac:dyDescent="0.25">
      <c r="A31" t="s">
        <v>23</v>
      </c>
      <c r="B31" t="s">
        <v>46</v>
      </c>
      <c r="C31" s="70" t="s">
        <v>22</v>
      </c>
      <c r="D31" s="70"/>
      <c r="E31" s="3">
        <f t="shared" si="1"/>
        <v>16</v>
      </c>
      <c r="F31" s="15">
        <v>40.5</v>
      </c>
      <c r="G31" s="15">
        <v>0.9</v>
      </c>
      <c r="H31" s="15">
        <f t="shared" si="0"/>
        <v>39.6</v>
      </c>
      <c r="I31" s="4" t="s">
        <v>20</v>
      </c>
    </row>
    <row r="32" spans="1:12" x14ac:dyDescent="0.25">
      <c r="A32" t="s">
        <v>23</v>
      </c>
      <c r="B32" t="s">
        <v>46</v>
      </c>
      <c r="C32" s="70" t="s">
        <v>22</v>
      </c>
      <c r="D32" s="70"/>
      <c r="E32" s="3">
        <f t="shared" si="1"/>
        <v>17</v>
      </c>
      <c r="F32" s="15">
        <v>43.8</v>
      </c>
      <c r="G32" s="15">
        <v>1.1000000000000001</v>
      </c>
      <c r="H32" s="15">
        <f t="shared" si="0"/>
        <v>42.699999999999996</v>
      </c>
      <c r="I32" s="4" t="s">
        <v>20</v>
      </c>
    </row>
    <row r="33" spans="1:9" x14ac:dyDescent="0.25">
      <c r="A33" t="s">
        <v>23</v>
      </c>
      <c r="B33" t="s">
        <v>46</v>
      </c>
      <c r="C33" s="70" t="s">
        <v>22</v>
      </c>
      <c r="D33" s="70"/>
      <c r="E33" s="3">
        <f t="shared" si="1"/>
        <v>18</v>
      </c>
      <c r="F33" s="15">
        <v>41.8</v>
      </c>
      <c r="G33" s="15">
        <v>1.2</v>
      </c>
      <c r="H33" s="15">
        <f t="shared" si="0"/>
        <v>40.599999999999994</v>
      </c>
      <c r="I33" s="4" t="s">
        <v>20</v>
      </c>
    </row>
    <row r="34" spans="1:9" x14ac:dyDescent="0.25">
      <c r="A34" t="s">
        <v>23</v>
      </c>
      <c r="B34" t="s">
        <v>46</v>
      </c>
      <c r="C34" s="70" t="s">
        <v>22</v>
      </c>
      <c r="D34" s="70"/>
      <c r="E34" s="3">
        <f t="shared" si="1"/>
        <v>19</v>
      </c>
      <c r="F34" s="15">
        <v>38.9</v>
      </c>
      <c r="G34" s="15">
        <v>0.8</v>
      </c>
      <c r="H34" s="15">
        <f t="shared" si="0"/>
        <v>38.1</v>
      </c>
      <c r="I34" s="4" t="s">
        <v>20</v>
      </c>
    </row>
    <row r="35" spans="1:9" x14ac:dyDescent="0.25">
      <c r="A35" t="s">
        <v>23</v>
      </c>
      <c r="B35" t="s">
        <v>46</v>
      </c>
      <c r="C35" s="70" t="s">
        <v>22</v>
      </c>
      <c r="D35" s="70"/>
      <c r="E35" s="3">
        <f t="shared" si="1"/>
        <v>20</v>
      </c>
      <c r="F35" s="15">
        <v>42</v>
      </c>
      <c r="G35" s="15">
        <v>1.1000000000000001</v>
      </c>
      <c r="H35" s="15">
        <f t="shared" si="0"/>
        <v>40.9</v>
      </c>
      <c r="I35" s="4" t="s">
        <v>20</v>
      </c>
    </row>
    <row r="36" spans="1:9" x14ac:dyDescent="0.25">
      <c r="A36" t="s">
        <v>23</v>
      </c>
      <c r="B36" t="s">
        <v>46</v>
      </c>
      <c r="C36" s="70" t="s">
        <v>22</v>
      </c>
      <c r="D36" s="70"/>
      <c r="E36" s="3">
        <f t="shared" si="1"/>
        <v>21</v>
      </c>
      <c r="F36" s="15">
        <v>41.1</v>
      </c>
      <c r="G36" s="15">
        <v>1</v>
      </c>
      <c r="H36" s="15">
        <f t="shared" si="0"/>
        <v>40.1</v>
      </c>
      <c r="I36" s="4" t="s">
        <v>20</v>
      </c>
    </row>
    <row r="37" spans="1:9" x14ac:dyDescent="0.25">
      <c r="A37" t="s">
        <v>23</v>
      </c>
      <c r="B37" t="s">
        <v>46</v>
      </c>
      <c r="C37" s="70" t="s">
        <v>22</v>
      </c>
      <c r="D37" s="70"/>
      <c r="E37" s="3">
        <f t="shared" si="1"/>
        <v>22</v>
      </c>
      <c r="F37" s="15">
        <v>45.7</v>
      </c>
      <c r="G37" s="15">
        <v>1.1000000000000001</v>
      </c>
      <c r="H37" s="15">
        <f t="shared" si="0"/>
        <v>44.6</v>
      </c>
      <c r="I37" s="4" t="s">
        <v>20</v>
      </c>
    </row>
    <row r="38" spans="1:9" x14ac:dyDescent="0.25">
      <c r="A38" t="s">
        <v>23</v>
      </c>
      <c r="B38" t="s">
        <v>46</v>
      </c>
      <c r="C38" s="70" t="s">
        <v>22</v>
      </c>
      <c r="D38" s="70"/>
      <c r="E38" s="3">
        <f t="shared" si="1"/>
        <v>23</v>
      </c>
      <c r="F38" s="15">
        <v>47.1</v>
      </c>
      <c r="G38" s="15">
        <v>1</v>
      </c>
      <c r="H38" s="15">
        <f t="shared" si="0"/>
        <v>46.1</v>
      </c>
      <c r="I38" s="4" t="s">
        <v>20</v>
      </c>
    </row>
    <row r="39" spans="1:9" x14ac:dyDescent="0.25">
      <c r="A39" t="s">
        <v>23</v>
      </c>
      <c r="B39" t="s">
        <v>46</v>
      </c>
      <c r="C39" s="70" t="s">
        <v>22</v>
      </c>
      <c r="D39" s="70"/>
      <c r="E39" s="3">
        <f t="shared" si="1"/>
        <v>24</v>
      </c>
      <c r="F39" s="15">
        <v>43.7</v>
      </c>
      <c r="G39" s="15">
        <v>1.3</v>
      </c>
      <c r="H39" s="15">
        <f t="shared" si="0"/>
        <v>42.400000000000006</v>
      </c>
      <c r="I39" s="4" t="s">
        <v>20</v>
      </c>
    </row>
    <row r="40" spans="1:9" x14ac:dyDescent="0.25">
      <c r="A40" t="s">
        <v>23</v>
      </c>
      <c r="B40" t="s">
        <v>46</v>
      </c>
      <c r="C40" s="70" t="s">
        <v>22</v>
      </c>
      <c r="D40" s="70"/>
      <c r="E40" s="3">
        <f t="shared" si="1"/>
        <v>25</v>
      </c>
      <c r="F40" s="15">
        <v>38</v>
      </c>
      <c r="G40" s="15">
        <v>1.6</v>
      </c>
      <c r="H40" s="15">
        <f t="shared" si="0"/>
        <v>36.4</v>
      </c>
      <c r="I40" s="4" t="s">
        <v>20</v>
      </c>
    </row>
    <row r="41" spans="1:9" x14ac:dyDescent="0.25">
      <c r="A41" t="s">
        <v>23</v>
      </c>
      <c r="B41" t="s">
        <v>46</v>
      </c>
      <c r="C41" s="70" t="s">
        <v>22</v>
      </c>
      <c r="D41" s="70"/>
      <c r="E41" s="3">
        <f t="shared" si="1"/>
        <v>26</v>
      </c>
      <c r="F41" s="15">
        <v>43</v>
      </c>
      <c r="G41" s="15">
        <v>1.3</v>
      </c>
      <c r="H41" s="15">
        <f t="shared" si="0"/>
        <v>41.7</v>
      </c>
      <c r="I41" s="4" t="s">
        <v>20</v>
      </c>
    </row>
    <row r="42" spans="1:9" x14ac:dyDescent="0.25">
      <c r="A42" t="s">
        <v>23</v>
      </c>
      <c r="B42" t="s">
        <v>46</v>
      </c>
      <c r="C42" s="70" t="s">
        <v>22</v>
      </c>
      <c r="D42" s="70"/>
      <c r="E42" s="3">
        <f t="shared" si="1"/>
        <v>27</v>
      </c>
      <c r="F42" s="15">
        <v>39.299999999999997</v>
      </c>
      <c r="G42" s="15">
        <v>1.5</v>
      </c>
      <c r="H42" s="15">
        <f t="shared" si="0"/>
        <v>37.799999999999997</v>
      </c>
      <c r="I42" s="4" t="s">
        <v>20</v>
      </c>
    </row>
    <row r="43" spans="1:9" x14ac:dyDescent="0.25">
      <c r="A43" t="s">
        <v>23</v>
      </c>
      <c r="B43" t="s">
        <v>46</v>
      </c>
      <c r="C43" s="70" t="s">
        <v>22</v>
      </c>
      <c r="D43" s="70"/>
      <c r="E43" s="3">
        <f t="shared" si="1"/>
        <v>28</v>
      </c>
      <c r="F43" s="15">
        <v>41.3</v>
      </c>
      <c r="G43" s="15">
        <v>2.1</v>
      </c>
      <c r="H43" s="15">
        <f t="shared" si="0"/>
        <v>39.199999999999996</v>
      </c>
      <c r="I43" s="4" t="s">
        <v>20</v>
      </c>
    </row>
    <row r="44" spans="1:9" x14ac:dyDescent="0.25">
      <c r="A44" t="s">
        <v>23</v>
      </c>
      <c r="B44" t="s">
        <v>46</v>
      </c>
      <c r="C44" s="70" t="s">
        <v>22</v>
      </c>
      <c r="D44" s="70"/>
      <c r="E44" s="3">
        <f t="shared" si="1"/>
        <v>29</v>
      </c>
      <c r="F44" s="15">
        <v>43.2</v>
      </c>
      <c r="G44" s="15">
        <v>1.3</v>
      </c>
      <c r="H44" s="15">
        <f t="shared" si="0"/>
        <v>41.900000000000006</v>
      </c>
      <c r="I44" s="4" t="s">
        <v>20</v>
      </c>
    </row>
    <row r="45" spans="1:9" x14ac:dyDescent="0.25">
      <c r="A45" t="s">
        <v>23</v>
      </c>
      <c r="B45" t="s">
        <v>46</v>
      </c>
      <c r="C45" s="70" t="s">
        <v>22</v>
      </c>
      <c r="D45" s="70"/>
      <c r="E45" s="3">
        <f t="shared" si="1"/>
        <v>30</v>
      </c>
      <c r="F45" s="15">
        <v>40.1</v>
      </c>
      <c r="G45" s="15">
        <v>1.3</v>
      </c>
      <c r="H45" s="15">
        <f t="shared" si="0"/>
        <v>38.800000000000004</v>
      </c>
      <c r="I45" s="4" t="s">
        <v>20</v>
      </c>
    </row>
    <row r="46" spans="1:9" x14ac:dyDescent="0.25">
      <c r="A46" t="s">
        <v>23</v>
      </c>
      <c r="B46" t="s">
        <v>46</v>
      </c>
      <c r="C46" s="70" t="s">
        <v>22</v>
      </c>
      <c r="D46" s="70"/>
      <c r="E46" s="3">
        <f t="shared" si="1"/>
        <v>31</v>
      </c>
      <c r="F46" s="15">
        <v>40.200000000000003</v>
      </c>
      <c r="G46" s="15">
        <v>1.3</v>
      </c>
      <c r="H46" s="15">
        <f t="shared" si="0"/>
        <v>38.900000000000006</v>
      </c>
      <c r="I46" s="4" t="s">
        <v>20</v>
      </c>
    </row>
    <row r="47" spans="1:9" x14ac:dyDescent="0.25">
      <c r="A47" t="s">
        <v>23</v>
      </c>
      <c r="B47" t="s">
        <v>46</v>
      </c>
      <c r="C47" s="70" t="s">
        <v>22</v>
      </c>
      <c r="D47" s="70"/>
      <c r="E47" s="3">
        <f t="shared" si="1"/>
        <v>32</v>
      </c>
      <c r="F47" s="15">
        <v>41.7</v>
      </c>
      <c r="G47" s="15">
        <v>1.3</v>
      </c>
      <c r="H47" s="15">
        <f t="shared" si="0"/>
        <v>40.400000000000006</v>
      </c>
      <c r="I47" s="4" t="s">
        <v>20</v>
      </c>
    </row>
    <row r="48" spans="1:9" x14ac:dyDescent="0.25">
      <c r="A48" t="s">
        <v>23</v>
      </c>
      <c r="B48" t="s">
        <v>46</v>
      </c>
      <c r="C48" s="70" t="s">
        <v>22</v>
      </c>
      <c r="D48" s="70"/>
      <c r="E48" s="3">
        <f t="shared" si="1"/>
        <v>33</v>
      </c>
      <c r="F48" s="15">
        <v>37.799999999999997</v>
      </c>
      <c r="G48" s="15">
        <v>1.3</v>
      </c>
      <c r="H48" s="15">
        <f t="shared" si="0"/>
        <v>36.5</v>
      </c>
      <c r="I48" s="4" t="s">
        <v>20</v>
      </c>
    </row>
    <row r="49" spans="1:9" x14ac:dyDescent="0.25">
      <c r="A49" t="s">
        <v>23</v>
      </c>
      <c r="B49" t="s">
        <v>46</v>
      </c>
      <c r="C49" s="70" t="s">
        <v>22</v>
      </c>
      <c r="D49" s="70"/>
      <c r="E49" s="3">
        <f t="shared" si="1"/>
        <v>34</v>
      </c>
      <c r="F49" s="15">
        <v>44</v>
      </c>
      <c r="G49" s="15">
        <v>1.2</v>
      </c>
      <c r="H49" s="15">
        <f t="shared" si="0"/>
        <v>42.8</v>
      </c>
      <c r="I49" s="4" t="s">
        <v>20</v>
      </c>
    </row>
    <row r="50" spans="1:9" x14ac:dyDescent="0.25">
      <c r="A50" t="s">
        <v>23</v>
      </c>
      <c r="B50" t="s">
        <v>46</v>
      </c>
      <c r="C50" s="70" t="s">
        <v>22</v>
      </c>
      <c r="D50" s="70"/>
      <c r="E50" s="3">
        <f t="shared" si="1"/>
        <v>35</v>
      </c>
      <c r="F50" s="15">
        <v>42.3</v>
      </c>
      <c r="G50" s="15">
        <v>1.3</v>
      </c>
      <c r="H50" s="15">
        <f t="shared" si="0"/>
        <v>41</v>
      </c>
      <c r="I50" s="4" t="s">
        <v>20</v>
      </c>
    </row>
    <row r="51" spans="1:9" x14ac:dyDescent="0.25">
      <c r="A51" t="s">
        <v>23</v>
      </c>
      <c r="B51" t="s">
        <v>46</v>
      </c>
      <c r="C51" s="70" t="s">
        <v>22</v>
      </c>
      <c r="D51" s="70"/>
      <c r="E51" s="3">
        <f t="shared" si="1"/>
        <v>36</v>
      </c>
      <c r="F51" s="15">
        <v>40.9</v>
      </c>
      <c r="G51" s="15">
        <v>1</v>
      </c>
      <c r="H51" s="15">
        <f t="shared" si="0"/>
        <v>39.9</v>
      </c>
      <c r="I51" s="4" t="s">
        <v>20</v>
      </c>
    </row>
    <row r="52" spans="1:9" x14ac:dyDescent="0.25">
      <c r="A52" t="s">
        <v>23</v>
      </c>
      <c r="B52" t="s">
        <v>46</v>
      </c>
      <c r="C52" s="70" t="s">
        <v>22</v>
      </c>
      <c r="D52" s="70"/>
      <c r="E52" s="3">
        <f t="shared" si="1"/>
        <v>37</v>
      </c>
      <c r="F52" s="15">
        <v>41</v>
      </c>
      <c r="G52" s="15">
        <v>1</v>
      </c>
      <c r="H52" s="15">
        <f t="shared" si="0"/>
        <v>40</v>
      </c>
      <c r="I52" s="4" t="s">
        <v>20</v>
      </c>
    </row>
    <row r="53" spans="1:9" x14ac:dyDescent="0.25">
      <c r="A53" t="s">
        <v>23</v>
      </c>
      <c r="B53" t="s">
        <v>46</v>
      </c>
      <c r="C53" s="70" t="s">
        <v>22</v>
      </c>
      <c r="D53" s="70"/>
      <c r="E53" s="3">
        <f t="shared" si="1"/>
        <v>38</v>
      </c>
      <c r="F53" s="15">
        <v>45.8</v>
      </c>
      <c r="G53" s="15">
        <v>1</v>
      </c>
      <c r="H53" s="15">
        <f t="shared" si="0"/>
        <v>44.8</v>
      </c>
      <c r="I53" s="4" t="s">
        <v>20</v>
      </c>
    </row>
    <row r="54" spans="1:9" x14ac:dyDescent="0.25">
      <c r="A54" t="s">
        <v>23</v>
      </c>
      <c r="B54" t="s">
        <v>46</v>
      </c>
      <c r="C54" s="70" t="s">
        <v>22</v>
      </c>
      <c r="D54" s="70"/>
      <c r="E54" s="3">
        <f t="shared" si="1"/>
        <v>39</v>
      </c>
      <c r="F54" s="15">
        <v>45.3</v>
      </c>
      <c r="G54" s="15">
        <v>1.5</v>
      </c>
      <c r="H54" s="15">
        <f t="shared" si="0"/>
        <v>43.8</v>
      </c>
      <c r="I54" s="4" t="s">
        <v>20</v>
      </c>
    </row>
    <row r="55" spans="1:9" x14ac:dyDescent="0.25">
      <c r="A55" t="s">
        <v>23</v>
      </c>
      <c r="B55" t="s">
        <v>46</v>
      </c>
      <c r="C55" s="70" t="s">
        <v>22</v>
      </c>
      <c r="D55" s="70"/>
      <c r="E55" s="3">
        <f t="shared" si="1"/>
        <v>40</v>
      </c>
      <c r="F55" s="15">
        <v>38.6</v>
      </c>
      <c r="G55" s="15">
        <v>0.9</v>
      </c>
      <c r="H55" s="15">
        <f t="shared" si="0"/>
        <v>37.700000000000003</v>
      </c>
      <c r="I55" s="4" t="s">
        <v>20</v>
      </c>
    </row>
    <row r="56" spans="1:9" x14ac:dyDescent="0.25">
      <c r="A56" t="s">
        <v>23</v>
      </c>
      <c r="B56" t="s">
        <v>46</v>
      </c>
      <c r="C56" s="70" t="s">
        <v>22</v>
      </c>
      <c r="D56" s="70"/>
      <c r="E56" s="3">
        <f t="shared" si="1"/>
        <v>41</v>
      </c>
      <c r="F56" s="15">
        <v>41.9</v>
      </c>
      <c r="G56" s="15">
        <v>1</v>
      </c>
      <c r="H56" s="15">
        <f t="shared" si="0"/>
        <v>40.9</v>
      </c>
      <c r="I56" s="4" t="s">
        <v>20</v>
      </c>
    </row>
    <row r="57" spans="1:9" x14ac:dyDescent="0.25">
      <c r="A57" t="s">
        <v>23</v>
      </c>
      <c r="B57" t="s">
        <v>46</v>
      </c>
      <c r="C57" s="70" t="s">
        <v>22</v>
      </c>
      <c r="D57" s="70"/>
      <c r="E57" s="3">
        <f t="shared" si="1"/>
        <v>42</v>
      </c>
      <c r="F57" s="15">
        <v>41.4</v>
      </c>
      <c r="G57" s="15">
        <v>1.5</v>
      </c>
      <c r="H57" s="15">
        <f t="shared" si="0"/>
        <v>39.9</v>
      </c>
      <c r="I57" s="4" t="s">
        <v>20</v>
      </c>
    </row>
    <row r="58" spans="1:9" x14ac:dyDescent="0.25">
      <c r="A58" t="s">
        <v>23</v>
      </c>
      <c r="B58" t="s">
        <v>46</v>
      </c>
      <c r="C58" s="70" t="s">
        <v>22</v>
      </c>
      <c r="D58" s="70"/>
      <c r="E58" s="3">
        <f t="shared" si="1"/>
        <v>43</v>
      </c>
      <c r="F58" s="15">
        <v>39.200000000000003</v>
      </c>
      <c r="G58" s="15">
        <v>1</v>
      </c>
      <c r="H58" s="15">
        <f t="shared" si="0"/>
        <v>38.200000000000003</v>
      </c>
      <c r="I58" s="4" t="s">
        <v>20</v>
      </c>
    </row>
    <row r="59" spans="1:9" x14ac:dyDescent="0.25">
      <c r="A59" t="s">
        <v>23</v>
      </c>
      <c r="B59" t="s">
        <v>46</v>
      </c>
      <c r="C59" s="70" t="s">
        <v>22</v>
      </c>
      <c r="D59" s="70"/>
      <c r="E59" s="3">
        <f t="shared" si="1"/>
        <v>44</v>
      </c>
      <c r="F59" s="15">
        <v>44.2</v>
      </c>
      <c r="G59" s="15">
        <v>1</v>
      </c>
      <c r="H59" s="15">
        <f t="shared" si="0"/>
        <v>43.2</v>
      </c>
      <c r="I59" s="4" t="s">
        <v>20</v>
      </c>
    </row>
    <row r="60" spans="1:9" x14ac:dyDescent="0.25">
      <c r="A60" t="s">
        <v>23</v>
      </c>
      <c r="B60" t="s">
        <v>46</v>
      </c>
      <c r="C60" s="70" t="s">
        <v>22</v>
      </c>
      <c r="D60" s="70"/>
      <c r="E60" s="3">
        <f t="shared" si="1"/>
        <v>45</v>
      </c>
      <c r="F60" s="15">
        <v>42.5</v>
      </c>
      <c r="G60" s="15">
        <v>1</v>
      </c>
      <c r="H60" s="15">
        <f t="shared" si="0"/>
        <v>41.5</v>
      </c>
      <c r="I60" s="4" t="s">
        <v>20</v>
      </c>
    </row>
    <row r="61" spans="1:9" x14ac:dyDescent="0.25">
      <c r="A61" t="s">
        <v>23</v>
      </c>
      <c r="B61" t="s">
        <v>46</v>
      </c>
      <c r="C61" s="70" t="s">
        <v>22</v>
      </c>
      <c r="D61" s="70"/>
      <c r="E61" s="3">
        <f t="shared" si="1"/>
        <v>46</v>
      </c>
      <c r="F61" s="15">
        <v>43.9</v>
      </c>
      <c r="G61" s="15">
        <v>1.4</v>
      </c>
      <c r="H61" s="15">
        <f t="shared" si="0"/>
        <v>42.5</v>
      </c>
      <c r="I61" s="4" t="s">
        <v>20</v>
      </c>
    </row>
    <row r="62" spans="1:9" x14ac:dyDescent="0.25">
      <c r="A62" t="s">
        <v>23</v>
      </c>
      <c r="B62" t="s">
        <v>46</v>
      </c>
      <c r="C62" s="70" t="s">
        <v>22</v>
      </c>
      <c r="D62" s="70"/>
      <c r="E62" s="3">
        <f t="shared" si="1"/>
        <v>47</v>
      </c>
      <c r="F62" s="15">
        <v>40.1</v>
      </c>
      <c r="G62" s="15">
        <v>0.9</v>
      </c>
      <c r="H62" s="15">
        <f t="shared" si="0"/>
        <v>39.200000000000003</v>
      </c>
      <c r="I62" s="4" t="s">
        <v>20</v>
      </c>
    </row>
    <row r="63" spans="1:9" x14ac:dyDescent="0.25">
      <c r="A63" t="s">
        <v>23</v>
      </c>
      <c r="B63" t="s">
        <v>46</v>
      </c>
      <c r="C63" s="70" t="s">
        <v>22</v>
      </c>
      <c r="D63" s="70"/>
      <c r="E63" s="3">
        <f t="shared" si="1"/>
        <v>48</v>
      </c>
      <c r="F63" s="15">
        <v>38.6</v>
      </c>
      <c r="G63" s="15">
        <v>1.4</v>
      </c>
      <c r="H63" s="15">
        <f t="shared" si="0"/>
        <v>37.200000000000003</v>
      </c>
      <c r="I63" s="4" t="s">
        <v>20</v>
      </c>
    </row>
    <row r="64" spans="1:9" x14ac:dyDescent="0.25">
      <c r="A64" t="s">
        <v>23</v>
      </c>
      <c r="B64" t="s">
        <v>46</v>
      </c>
      <c r="C64" s="70" t="s">
        <v>22</v>
      </c>
      <c r="D64" s="70"/>
      <c r="E64" s="3">
        <f t="shared" si="1"/>
        <v>49</v>
      </c>
      <c r="F64" s="15">
        <v>45.1</v>
      </c>
      <c r="G64" s="15">
        <v>1</v>
      </c>
      <c r="H64" s="15">
        <f t="shared" si="0"/>
        <v>44.1</v>
      </c>
      <c r="I64" s="4" t="s">
        <v>20</v>
      </c>
    </row>
    <row r="65" spans="1:9" x14ac:dyDescent="0.25">
      <c r="A65" t="s">
        <v>23</v>
      </c>
      <c r="B65" t="s">
        <v>46</v>
      </c>
      <c r="C65" s="70" t="s">
        <v>22</v>
      </c>
      <c r="D65" s="70"/>
      <c r="E65" s="3">
        <f t="shared" si="1"/>
        <v>50</v>
      </c>
      <c r="F65" s="15">
        <v>44.3</v>
      </c>
      <c r="G65" s="15">
        <v>1.2</v>
      </c>
      <c r="H65" s="15">
        <f t="shared" si="0"/>
        <v>43.099999999999994</v>
      </c>
      <c r="I65" s="4" t="s">
        <v>20</v>
      </c>
    </row>
    <row r="66" spans="1:9" x14ac:dyDescent="0.25">
      <c r="A66" t="s">
        <v>23</v>
      </c>
      <c r="B66" t="s">
        <v>46</v>
      </c>
      <c r="C66" s="70" t="s">
        <v>22</v>
      </c>
      <c r="D66" s="70"/>
      <c r="E66" s="3">
        <f t="shared" si="1"/>
        <v>51</v>
      </c>
      <c r="F66" s="15">
        <v>48</v>
      </c>
      <c r="G66" s="15">
        <v>1.1000000000000001</v>
      </c>
      <c r="H66" s="15">
        <f t="shared" si="0"/>
        <v>46.9</v>
      </c>
      <c r="I66" s="4" t="s">
        <v>20</v>
      </c>
    </row>
    <row r="67" spans="1:9" x14ac:dyDescent="0.25">
      <c r="A67" t="s">
        <v>23</v>
      </c>
      <c r="B67" t="s">
        <v>46</v>
      </c>
      <c r="C67" s="70" t="s">
        <v>22</v>
      </c>
      <c r="D67" s="70"/>
      <c r="E67" s="3">
        <f t="shared" si="1"/>
        <v>52</v>
      </c>
      <c r="F67" s="15">
        <v>40.5</v>
      </c>
      <c r="G67" s="15">
        <v>1</v>
      </c>
      <c r="H67" s="15">
        <f t="shared" si="0"/>
        <v>39.5</v>
      </c>
      <c r="I67" s="4" t="s">
        <v>20</v>
      </c>
    </row>
    <row r="68" spans="1:9" x14ac:dyDescent="0.25">
      <c r="A68" t="s">
        <v>23</v>
      </c>
      <c r="B68" t="s">
        <v>46</v>
      </c>
      <c r="C68" s="70" t="s">
        <v>22</v>
      </c>
      <c r="D68" s="70"/>
      <c r="E68" s="3">
        <f t="shared" si="1"/>
        <v>53</v>
      </c>
      <c r="F68" s="15">
        <v>48.9</v>
      </c>
      <c r="G68" s="15">
        <v>1</v>
      </c>
      <c r="H68" s="15">
        <f t="shared" si="0"/>
        <v>47.9</v>
      </c>
      <c r="I68" s="4" t="s">
        <v>20</v>
      </c>
    </row>
    <row r="69" spans="1:9" x14ac:dyDescent="0.25">
      <c r="A69" t="s">
        <v>23</v>
      </c>
      <c r="B69" t="s">
        <v>46</v>
      </c>
      <c r="C69" s="70" t="s">
        <v>22</v>
      </c>
      <c r="D69" s="70"/>
      <c r="E69" s="3">
        <f t="shared" si="1"/>
        <v>54</v>
      </c>
      <c r="F69" s="15">
        <v>41.5</v>
      </c>
      <c r="G69" s="15">
        <v>0.9</v>
      </c>
      <c r="H69" s="15">
        <f t="shared" si="0"/>
        <v>40.6</v>
      </c>
      <c r="I69" s="4" t="s">
        <v>20</v>
      </c>
    </row>
    <row r="70" spans="1:9" x14ac:dyDescent="0.25">
      <c r="A70" t="s">
        <v>23</v>
      </c>
      <c r="B70" t="s">
        <v>46</v>
      </c>
      <c r="C70" s="70" t="s">
        <v>22</v>
      </c>
      <c r="D70" s="70"/>
      <c r="E70" s="3">
        <f t="shared" si="1"/>
        <v>55</v>
      </c>
      <c r="F70" s="15">
        <v>40.6</v>
      </c>
      <c r="G70" s="15">
        <v>1.5</v>
      </c>
      <c r="H70" s="15">
        <f t="shared" si="0"/>
        <v>39.1</v>
      </c>
      <c r="I70" s="4" t="s">
        <v>20</v>
      </c>
    </row>
    <row r="71" spans="1:9" x14ac:dyDescent="0.25">
      <c r="A71" t="s">
        <v>23</v>
      </c>
      <c r="B71" t="s">
        <v>46</v>
      </c>
      <c r="C71" s="70" t="s">
        <v>22</v>
      </c>
      <c r="D71" s="70"/>
      <c r="E71" s="3">
        <f t="shared" si="1"/>
        <v>56</v>
      </c>
      <c r="F71" s="15">
        <v>43.3</v>
      </c>
      <c r="G71" s="15">
        <v>1</v>
      </c>
      <c r="H71" s="15">
        <f t="shared" si="0"/>
        <v>42.3</v>
      </c>
      <c r="I71" s="4" t="s">
        <v>20</v>
      </c>
    </row>
    <row r="72" spans="1:9" x14ac:dyDescent="0.25">
      <c r="A72" t="s">
        <v>23</v>
      </c>
      <c r="B72" t="s">
        <v>46</v>
      </c>
      <c r="C72" s="70" t="s">
        <v>22</v>
      </c>
      <c r="D72" s="70"/>
      <c r="E72" s="3">
        <f t="shared" si="1"/>
        <v>57</v>
      </c>
      <c r="F72" s="15">
        <v>43.2</v>
      </c>
      <c r="G72" s="15">
        <v>1</v>
      </c>
      <c r="H72" s="15">
        <f t="shared" si="0"/>
        <v>42.2</v>
      </c>
      <c r="I72" s="4" t="s">
        <v>20</v>
      </c>
    </row>
    <row r="73" spans="1:9" x14ac:dyDescent="0.25">
      <c r="A73" t="s">
        <v>23</v>
      </c>
      <c r="B73" t="s">
        <v>46</v>
      </c>
      <c r="C73" s="70" t="s">
        <v>22</v>
      </c>
      <c r="D73" s="70"/>
      <c r="E73" s="3">
        <f t="shared" si="1"/>
        <v>58</v>
      </c>
      <c r="F73" s="15">
        <v>45.2</v>
      </c>
      <c r="G73" s="15">
        <v>1.1000000000000001</v>
      </c>
      <c r="H73" s="15">
        <f t="shared" si="0"/>
        <v>44.1</v>
      </c>
      <c r="I73" s="4" t="s">
        <v>20</v>
      </c>
    </row>
    <row r="74" spans="1:9" x14ac:dyDescent="0.25">
      <c r="A74" t="s">
        <v>23</v>
      </c>
      <c r="B74" t="s">
        <v>46</v>
      </c>
      <c r="C74" s="70" t="s">
        <v>22</v>
      </c>
      <c r="D74" s="70"/>
      <c r="E74" s="3">
        <f t="shared" si="1"/>
        <v>59</v>
      </c>
      <c r="F74" s="15">
        <v>47.2</v>
      </c>
      <c r="G74" s="15">
        <v>1.3</v>
      </c>
      <c r="H74" s="15">
        <f t="shared" si="0"/>
        <v>45.900000000000006</v>
      </c>
      <c r="I74" s="4" t="s">
        <v>20</v>
      </c>
    </row>
    <row r="75" spans="1:9" x14ac:dyDescent="0.25">
      <c r="A75" t="s">
        <v>23</v>
      </c>
      <c r="B75" t="s">
        <v>46</v>
      </c>
      <c r="C75" s="70" t="s">
        <v>22</v>
      </c>
      <c r="D75" s="70"/>
      <c r="E75" s="3">
        <f t="shared" si="1"/>
        <v>60</v>
      </c>
      <c r="F75" s="15">
        <v>47.5</v>
      </c>
      <c r="G75" s="15">
        <v>0.9</v>
      </c>
      <c r="H75" s="15">
        <f t="shared" si="0"/>
        <v>46.6</v>
      </c>
      <c r="I75" s="4" t="s">
        <v>20</v>
      </c>
    </row>
    <row r="76" spans="1:9" x14ac:dyDescent="0.25">
      <c r="A76" t="s">
        <v>23</v>
      </c>
      <c r="B76" t="s">
        <v>46</v>
      </c>
      <c r="C76" s="70" t="s">
        <v>22</v>
      </c>
      <c r="D76" s="70"/>
      <c r="E76" s="3">
        <f t="shared" si="1"/>
        <v>61</v>
      </c>
      <c r="F76" s="15">
        <v>48.7</v>
      </c>
      <c r="G76" s="15">
        <v>1.5</v>
      </c>
      <c r="H76" s="15">
        <f t="shared" si="0"/>
        <v>47.2</v>
      </c>
      <c r="I76" s="4" t="s">
        <v>20</v>
      </c>
    </row>
    <row r="77" spans="1:9" x14ac:dyDescent="0.25">
      <c r="A77" t="s">
        <v>23</v>
      </c>
      <c r="B77" t="s">
        <v>46</v>
      </c>
      <c r="C77" s="70" t="s">
        <v>22</v>
      </c>
      <c r="D77" s="70"/>
      <c r="E77" s="3">
        <f t="shared" si="1"/>
        <v>62</v>
      </c>
      <c r="F77" s="15">
        <v>41.7</v>
      </c>
      <c r="G77" s="15">
        <v>1.1000000000000001</v>
      </c>
      <c r="H77" s="15">
        <f t="shared" si="0"/>
        <v>40.6</v>
      </c>
      <c r="I77" s="4" t="s">
        <v>20</v>
      </c>
    </row>
    <row r="78" spans="1:9" x14ac:dyDescent="0.25">
      <c r="A78" t="s">
        <v>23</v>
      </c>
      <c r="B78" t="s">
        <v>46</v>
      </c>
      <c r="C78" s="70" t="s">
        <v>22</v>
      </c>
      <c r="D78" s="70"/>
      <c r="E78" s="3">
        <f t="shared" si="1"/>
        <v>63</v>
      </c>
      <c r="F78" s="15">
        <v>44.4</v>
      </c>
      <c r="G78" s="15">
        <v>1.6</v>
      </c>
      <c r="H78" s="15">
        <f t="shared" si="0"/>
        <v>42.8</v>
      </c>
      <c r="I78" s="4" t="s">
        <v>20</v>
      </c>
    </row>
    <row r="79" spans="1:9" x14ac:dyDescent="0.25">
      <c r="A79" t="s">
        <v>23</v>
      </c>
      <c r="B79" t="s">
        <v>46</v>
      </c>
      <c r="C79" s="70" t="s">
        <v>22</v>
      </c>
      <c r="D79" s="70"/>
      <c r="E79" s="3">
        <f t="shared" si="1"/>
        <v>64</v>
      </c>
      <c r="F79" s="15">
        <v>44.6</v>
      </c>
      <c r="G79" s="15">
        <v>1.1000000000000001</v>
      </c>
      <c r="H79" s="15">
        <f t="shared" si="0"/>
        <v>43.5</v>
      </c>
      <c r="I79" s="4" t="s">
        <v>20</v>
      </c>
    </row>
    <row r="80" spans="1:9" x14ac:dyDescent="0.25">
      <c r="A80" t="s">
        <v>23</v>
      </c>
      <c r="B80" t="s">
        <v>46</v>
      </c>
      <c r="C80" s="70" t="s">
        <v>22</v>
      </c>
      <c r="D80" s="70"/>
      <c r="E80" s="3">
        <f t="shared" si="1"/>
        <v>65</v>
      </c>
      <c r="F80" s="15">
        <v>29.6</v>
      </c>
      <c r="G80" s="15">
        <v>0.9</v>
      </c>
      <c r="H80" s="15">
        <f t="shared" si="0"/>
        <v>28.700000000000003</v>
      </c>
      <c r="I80" s="4" t="s">
        <v>20</v>
      </c>
    </row>
    <row r="81" spans="1:9" x14ac:dyDescent="0.25">
      <c r="A81" t="s">
        <v>23</v>
      </c>
      <c r="B81" t="s">
        <v>46</v>
      </c>
      <c r="C81" s="70" t="s">
        <v>22</v>
      </c>
      <c r="D81" s="70"/>
      <c r="E81" s="3">
        <f t="shared" si="1"/>
        <v>66</v>
      </c>
      <c r="F81" s="15">
        <v>42.1</v>
      </c>
      <c r="G81" s="15">
        <v>1.3</v>
      </c>
      <c r="H81" s="15">
        <f t="shared" ref="H81:H100" si="2">F81-G81</f>
        <v>40.800000000000004</v>
      </c>
      <c r="I81" s="4" t="s">
        <v>20</v>
      </c>
    </row>
    <row r="82" spans="1:9" x14ac:dyDescent="0.25">
      <c r="A82" t="s">
        <v>23</v>
      </c>
      <c r="B82" t="s">
        <v>46</v>
      </c>
      <c r="C82" s="70" t="s">
        <v>22</v>
      </c>
      <c r="D82" s="70"/>
      <c r="E82" s="3">
        <f t="shared" ref="E82:E145" si="3">E81+1</f>
        <v>67</v>
      </c>
      <c r="F82" s="15">
        <v>44.7</v>
      </c>
      <c r="G82" s="15">
        <v>1.1000000000000001</v>
      </c>
      <c r="H82" s="15">
        <f t="shared" si="2"/>
        <v>43.6</v>
      </c>
      <c r="I82" s="4" t="s">
        <v>20</v>
      </c>
    </row>
    <row r="83" spans="1:9" x14ac:dyDescent="0.25">
      <c r="A83" t="s">
        <v>23</v>
      </c>
      <c r="B83" t="s">
        <v>46</v>
      </c>
      <c r="C83" s="70" t="s">
        <v>22</v>
      </c>
      <c r="D83" s="70"/>
      <c r="E83" s="3">
        <f t="shared" si="3"/>
        <v>68</v>
      </c>
      <c r="F83" s="15">
        <v>41</v>
      </c>
      <c r="G83" s="15">
        <v>0.9</v>
      </c>
      <c r="H83" s="15">
        <f t="shared" si="2"/>
        <v>40.1</v>
      </c>
      <c r="I83" s="4" t="s">
        <v>20</v>
      </c>
    </row>
    <row r="84" spans="1:9" x14ac:dyDescent="0.25">
      <c r="A84" t="s">
        <v>23</v>
      </c>
      <c r="B84" t="s">
        <v>46</v>
      </c>
      <c r="C84" s="70" t="s">
        <v>22</v>
      </c>
      <c r="D84" s="70"/>
      <c r="E84" s="3">
        <f t="shared" si="3"/>
        <v>69</v>
      </c>
      <c r="F84" s="15">
        <v>46.6</v>
      </c>
      <c r="G84" s="15">
        <v>1.5</v>
      </c>
      <c r="H84" s="15">
        <f t="shared" si="2"/>
        <v>45.1</v>
      </c>
      <c r="I84" s="4" t="s">
        <v>20</v>
      </c>
    </row>
    <row r="85" spans="1:9" x14ac:dyDescent="0.25">
      <c r="A85" t="s">
        <v>23</v>
      </c>
      <c r="B85" t="s">
        <v>46</v>
      </c>
      <c r="C85" s="70" t="s">
        <v>22</v>
      </c>
      <c r="D85" s="70"/>
      <c r="E85" s="3">
        <f t="shared" si="3"/>
        <v>70</v>
      </c>
      <c r="F85" s="15">
        <v>45.2</v>
      </c>
      <c r="G85" s="15">
        <v>1</v>
      </c>
      <c r="H85" s="15">
        <f t="shared" si="2"/>
        <v>44.2</v>
      </c>
      <c r="I85" s="4" t="s">
        <v>20</v>
      </c>
    </row>
    <row r="86" spans="1:9" x14ac:dyDescent="0.25">
      <c r="A86" t="s">
        <v>23</v>
      </c>
      <c r="B86" t="s">
        <v>46</v>
      </c>
      <c r="C86" s="70" t="s">
        <v>22</v>
      </c>
      <c r="D86" s="70"/>
      <c r="E86" s="3">
        <f t="shared" si="3"/>
        <v>71</v>
      </c>
      <c r="F86" s="15">
        <v>46</v>
      </c>
      <c r="G86" s="15">
        <v>1</v>
      </c>
      <c r="H86" s="15">
        <f t="shared" si="2"/>
        <v>45</v>
      </c>
      <c r="I86" s="4" t="s">
        <v>20</v>
      </c>
    </row>
    <row r="87" spans="1:9" x14ac:dyDescent="0.25">
      <c r="A87" t="s">
        <v>23</v>
      </c>
      <c r="B87" t="s">
        <v>46</v>
      </c>
      <c r="C87" s="70" t="s">
        <v>22</v>
      </c>
      <c r="D87" s="70"/>
      <c r="E87" s="3">
        <f t="shared" si="3"/>
        <v>72</v>
      </c>
      <c r="F87" s="15">
        <v>45.1</v>
      </c>
      <c r="G87" s="15">
        <v>1.1000000000000001</v>
      </c>
      <c r="H87" s="15">
        <f t="shared" si="2"/>
        <v>44</v>
      </c>
      <c r="I87" s="4" t="s">
        <v>20</v>
      </c>
    </row>
    <row r="88" spans="1:9" x14ac:dyDescent="0.25">
      <c r="A88" t="s">
        <v>23</v>
      </c>
      <c r="B88" t="s">
        <v>46</v>
      </c>
      <c r="C88" s="70" t="s">
        <v>22</v>
      </c>
      <c r="D88" s="70"/>
      <c r="E88" s="3">
        <f t="shared" si="3"/>
        <v>73</v>
      </c>
      <c r="F88" s="15">
        <v>35.4</v>
      </c>
      <c r="G88" s="15">
        <v>1.1000000000000001</v>
      </c>
      <c r="H88" s="15">
        <f t="shared" si="2"/>
        <v>34.299999999999997</v>
      </c>
      <c r="I88" s="4" t="s">
        <v>20</v>
      </c>
    </row>
    <row r="89" spans="1:9" x14ac:dyDescent="0.25">
      <c r="A89" t="s">
        <v>23</v>
      </c>
      <c r="B89" t="s">
        <v>46</v>
      </c>
      <c r="C89" s="70" t="s">
        <v>22</v>
      </c>
      <c r="D89" s="70"/>
      <c r="E89" s="3">
        <f t="shared" si="3"/>
        <v>74</v>
      </c>
      <c r="F89" s="15">
        <v>42.6</v>
      </c>
      <c r="G89" s="15">
        <v>0.9</v>
      </c>
      <c r="H89" s="15">
        <f t="shared" si="2"/>
        <v>41.7</v>
      </c>
      <c r="I89" s="4" t="s">
        <v>20</v>
      </c>
    </row>
    <row r="90" spans="1:9" x14ac:dyDescent="0.25">
      <c r="A90" t="s">
        <v>23</v>
      </c>
      <c r="B90" t="s">
        <v>46</v>
      </c>
      <c r="C90" s="70" t="s">
        <v>22</v>
      </c>
      <c r="D90" s="70"/>
      <c r="E90" s="3">
        <f t="shared" si="3"/>
        <v>75</v>
      </c>
      <c r="F90" s="15">
        <v>40.200000000000003</v>
      </c>
      <c r="G90" s="15">
        <v>1.2</v>
      </c>
      <c r="H90" s="15">
        <f t="shared" si="2"/>
        <v>39</v>
      </c>
      <c r="I90" s="4" t="s">
        <v>20</v>
      </c>
    </row>
    <row r="91" spans="1:9" x14ac:dyDescent="0.25">
      <c r="A91" t="s">
        <v>23</v>
      </c>
      <c r="B91" t="s">
        <v>46</v>
      </c>
      <c r="C91" s="70" t="s">
        <v>22</v>
      </c>
      <c r="D91" s="70"/>
      <c r="E91" s="3">
        <f t="shared" si="3"/>
        <v>76</v>
      </c>
      <c r="F91" s="15">
        <v>44.9</v>
      </c>
      <c r="G91" s="15">
        <v>1.1000000000000001</v>
      </c>
      <c r="H91" s="15">
        <f t="shared" si="2"/>
        <v>43.8</v>
      </c>
      <c r="I91" s="4" t="s">
        <v>20</v>
      </c>
    </row>
    <row r="92" spans="1:9" x14ac:dyDescent="0.25">
      <c r="A92" t="s">
        <v>23</v>
      </c>
      <c r="B92" t="s">
        <v>46</v>
      </c>
      <c r="C92" s="70" t="s">
        <v>22</v>
      </c>
      <c r="D92" s="70"/>
      <c r="E92" s="3">
        <f t="shared" si="3"/>
        <v>77</v>
      </c>
      <c r="F92" s="15">
        <v>43.2</v>
      </c>
      <c r="G92" s="15">
        <v>1</v>
      </c>
      <c r="H92" s="15">
        <f t="shared" si="2"/>
        <v>42.2</v>
      </c>
      <c r="I92" s="4" t="s">
        <v>20</v>
      </c>
    </row>
    <row r="93" spans="1:9" x14ac:dyDescent="0.25">
      <c r="A93" t="s">
        <v>23</v>
      </c>
      <c r="B93" t="s">
        <v>46</v>
      </c>
      <c r="C93" s="70" t="s">
        <v>22</v>
      </c>
      <c r="D93" s="70"/>
      <c r="E93" s="3">
        <f t="shared" si="3"/>
        <v>78</v>
      </c>
      <c r="F93" s="15">
        <v>41</v>
      </c>
      <c r="G93" s="15">
        <v>1.6</v>
      </c>
      <c r="H93" s="15">
        <f t="shared" si="2"/>
        <v>39.4</v>
      </c>
      <c r="I93" s="4" t="s">
        <v>20</v>
      </c>
    </row>
    <row r="94" spans="1:9" x14ac:dyDescent="0.25">
      <c r="A94" t="s">
        <v>23</v>
      </c>
      <c r="B94" t="s">
        <v>46</v>
      </c>
      <c r="C94" s="70" t="s">
        <v>22</v>
      </c>
      <c r="D94" s="70"/>
      <c r="E94" s="3">
        <f t="shared" si="3"/>
        <v>79</v>
      </c>
      <c r="F94" s="15">
        <v>42.1</v>
      </c>
      <c r="G94" s="15">
        <v>1.1000000000000001</v>
      </c>
      <c r="H94" s="15">
        <f t="shared" si="2"/>
        <v>41</v>
      </c>
      <c r="I94" s="4" t="s">
        <v>20</v>
      </c>
    </row>
    <row r="95" spans="1:9" x14ac:dyDescent="0.25">
      <c r="A95" t="s">
        <v>23</v>
      </c>
      <c r="B95" t="s">
        <v>46</v>
      </c>
      <c r="C95" s="70" t="s">
        <v>22</v>
      </c>
      <c r="D95" s="70"/>
      <c r="E95" s="3">
        <f t="shared" si="3"/>
        <v>80</v>
      </c>
      <c r="F95" s="15">
        <v>40.700000000000003</v>
      </c>
      <c r="G95" s="15">
        <v>1.1000000000000001</v>
      </c>
      <c r="H95" s="15">
        <f t="shared" si="2"/>
        <v>39.6</v>
      </c>
      <c r="I95" s="4" t="s">
        <v>20</v>
      </c>
    </row>
    <row r="96" spans="1:9" x14ac:dyDescent="0.25">
      <c r="A96" t="s">
        <v>23</v>
      </c>
      <c r="B96" t="s">
        <v>46</v>
      </c>
      <c r="C96" s="70" t="s">
        <v>22</v>
      </c>
      <c r="D96" s="70"/>
      <c r="E96" s="3">
        <f t="shared" si="3"/>
        <v>81</v>
      </c>
      <c r="F96" s="15">
        <v>39.9</v>
      </c>
      <c r="G96" s="15">
        <v>1.5</v>
      </c>
      <c r="H96" s="15">
        <f t="shared" si="2"/>
        <v>38.4</v>
      </c>
      <c r="I96" s="4" t="s">
        <v>20</v>
      </c>
    </row>
    <row r="97" spans="1:9" x14ac:dyDescent="0.25">
      <c r="A97" t="s">
        <v>23</v>
      </c>
      <c r="B97" t="s">
        <v>46</v>
      </c>
      <c r="C97" s="70" t="s">
        <v>22</v>
      </c>
      <c r="D97" s="70"/>
      <c r="E97" s="3">
        <f t="shared" si="3"/>
        <v>82</v>
      </c>
      <c r="F97" s="15">
        <v>44.9</v>
      </c>
      <c r="G97" s="15">
        <v>1.1000000000000001</v>
      </c>
      <c r="H97" s="15">
        <f t="shared" si="2"/>
        <v>43.8</v>
      </c>
      <c r="I97" s="4" t="s">
        <v>20</v>
      </c>
    </row>
    <row r="98" spans="1:9" x14ac:dyDescent="0.25">
      <c r="A98" t="s">
        <v>23</v>
      </c>
      <c r="B98" t="s">
        <v>46</v>
      </c>
      <c r="C98" s="70" t="s">
        <v>22</v>
      </c>
      <c r="D98" s="70"/>
      <c r="E98" s="3">
        <f t="shared" si="3"/>
        <v>83</v>
      </c>
      <c r="F98" s="15">
        <v>43.9</v>
      </c>
      <c r="G98" s="15">
        <v>1.5</v>
      </c>
      <c r="H98" s="15">
        <f t="shared" si="2"/>
        <v>42.4</v>
      </c>
      <c r="I98" s="4" t="s">
        <v>20</v>
      </c>
    </row>
    <row r="99" spans="1:9" x14ac:dyDescent="0.25">
      <c r="A99" t="s">
        <v>23</v>
      </c>
      <c r="B99" t="s">
        <v>46</v>
      </c>
      <c r="C99" s="70" t="s">
        <v>22</v>
      </c>
      <c r="D99" s="70"/>
      <c r="E99" s="3">
        <f t="shared" si="3"/>
        <v>84</v>
      </c>
      <c r="F99" s="15">
        <v>44.3</v>
      </c>
      <c r="G99" s="15">
        <v>1.1000000000000001</v>
      </c>
      <c r="H99" s="15">
        <f t="shared" si="2"/>
        <v>43.199999999999996</v>
      </c>
      <c r="I99" s="4" t="s">
        <v>20</v>
      </c>
    </row>
    <row r="100" spans="1:9" x14ac:dyDescent="0.25">
      <c r="A100" t="s">
        <v>23</v>
      </c>
      <c r="B100" t="s">
        <v>46</v>
      </c>
      <c r="C100" s="70" t="s">
        <v>22</v>
      </c>
      <c r="D100" s="70"/>
      <c r="E100" s="3">
        <f t="shared" si="3"/>
        <v>85</v>
      </c>
      <c r="F100" s="15">
        <v>43.8</v>
      </c>
      <c r="G100" s="15">
        <v>1.7</v>
      </c>
      <c r="H100" s="15">
        <f t="shared" si="2"/>
        <v>42.099999999999994</v>
      </c>
      <c r="I100" s="4" t="s">
        <v>20</v>
      </c>
    </row>
    <row r="101" spans="1:9" x14ac:dyDescent="0.25">
      <c r="A101" t="s">
        <v>23</v>
      </c>
      <c r="B101" t="s">
        <v>46</v>
      </c>
      <c r="C101" s="70" t="s">
        <v>22</v>
      </c>
      <c r="D101" s="70"/>
      <c r="E101" s="3">
        <f t="shared" si="3"/>
        <v>86</v>
      </c>
      <c r="F101" s="15">
        <v>40.700000000000003</v>
      </c>
      <c r="G101" s="15">
        <v>1</v>
      </c>
      <c r="H101" s="15">
        <f t="shared" ref="H101:H164" si="4">F101-G101</f>
        <v>39.700000000000003</v>
      </c>
      <c r="I101" s="4" t="s">
        <v>20</v>
      </c>
    </row>
    <row r="102" spans="1:9" x14ac:dyDescent="0.25">
      <c r="A102" t="s">
        <v>23</v>
      </c>
      <c r="B102" t="s">
        <v>46</v>
      </c>
      <c r="C102" s="70" t="s">
        <v>22</v>
      </c>
      <c r="D102" s="70"/>
      <c r="E102" s="3">
        <f t="shared" si="3"/>
        <v>87</v>
      </c>
      <c r="F102" s="15">
        <v>46.2</v>
      </c>
      <c r="G102" s="15">
        <v>1</v>
      </c>
      <c r="H102" s="15">
        <f t="shared" si="4"/>
        <v>45.2</v>
      </c>
      <c r="I102" s="4" t="s">
        <v>20</v>
      </c>
    </row>
    <row r="103" spans="1:9" x14ac:dyDescent="0.25">
      <c r="A103" t="s">
        <v>23</v>
      </c>
      <c r="B103" t="s">
        <v>46</v>
      </c>
      <c r="C103" s="70" t="s">
        <v>22</v>
      </c>
      <c r="D103" s="70"/>
      <c r="E103" s="3">
        <f t="shared" si="3"/>
        <v>88</v>
      </c>
      <c r="F103" s="15">
        <v>38.4</v>
      </c>
      <c r="G103" s="15">
        <v>1.1000000000000001</v>
      </c>
      <c r="H103" s="15">
        <f t="shared" si="4"/>
        <v>37.299999999999997</v>
      </c>
      <c r="I103" s="4" t="s">
        <v>20</v>
      </c>
    </row>
    <row r="104" spans="1:9" x14ac:dyDescent="0.25">
      <c r="A104" t="s">
        <v>23</v>
      </c>
      <c r="B104" t="s">
        <v>46</v>
      </c>
      <c r="C104" s="70" t="s">
        <v>22</v>
      </c>
      <c r="D104" s="70"/>
      <c r="E104" s="3">
        <f t="shared" si="3"/>
        <v>89</v>
      </c>
      <c r="F104" s="15">
        <v>38.4</v>
      </c>
      <c r="G104" s="15">
        <v>1.5</v>
      </c>
      <c r="H104" s="15">
        <f t="shared" si="4"/>
        <v>36.9</v>
      </c>
      <c r="I104" s="4" t="s">
        <v>20</v>
      </c>
    </row>
    <row r="105" spans="1:9" x14ac:dyDescent="0.25">
      <c r="A105" t="s">
        <v>23</v>
      </c>
      <c r="B105" t="s">
        <v>46</v>
      </c>
      <c r="C105" s="70" t="s">
        <v>22</v>
      </c>
      <c r="D105" s="70"/>
      <c r="E105" s="3">
        <f t="shared" si="3"/>
        <v>90</v>
      </c>
      <c r="F105" s="15">
        <v>38.9</v>
      </c>
      <c r="G105" s="15">
        <v>1.6</v>
      </c>
      <c r="H105" s="15">
        <f t="shared" si="4"/>
        <v>37.299999999999997</v>
      </c>
      <c r="I105" s="4" t="s">
        <v>20</v>
      </c>
    </row>
    <row r="106" spans="1:9" x14ac:dyDescent="0.25">
      <c r="A106" t="s">
        <v>23</v>
      </c>
      <c r="B106" t="s">
        <v>46</v>
      </c>
      <c r="C106" s="70" t="s">
        <v>22</v>
      </c>
      <c r="D106" s="70"/>
      <c r="E106" s="3">
        <f t="shared" si="3"/>
        <v>91</v>
      </c>
      <c r="F106" s="15">
        <v>39.6</v>
      </c>
      <c r="G106" s="15">
        <v>0.9</v>
      </c>
      <c r="H106" s="15">
        <f t="shared" si="4"/>
        <v>38.700000000000003</v>
      </c>
      <c r="I106" s="4" t="s">
        <v>20</v>
      </c>
    </row>
    <row r="107" spans="1:9" x14ac:dyDescent="0.25">
      <c r="A107" t="s">
        <v>23</v>
      </c>
      <c r="B107" t="s">
        <v>46</v>
      </c>
      <c r="C107" s="70" t="s">
        <v>22</v>
      </c>
      <c r="D107" s="70"/>
      <c r="E107" s="3">
        <f t="shared" si="3"/>
        <v>92</v>
      </c>
      <c r="F107" s="15">
        <v>38.9</v>
      </c>
      <c r="G107" s="15">
        <v>1.2</v>
      </c>
      <c r="H107" s="15">
        <f t="shared" si="4"/>
        <v>37.699999999999996</v>
      </c>
      <c r="I107" s="4" t="s">
        <v>20</v>
      </c>
    </row>
    <row r="108" spans="1:9" x14ac:dyDescent="0.25">
      <c r="A108" t="s">
        <v>23</v>
      </c>
      <c r="B108" t="s">
        <v>46</v>
      </c>
      <c r="C108" s="70" t="s">
        <v>22</v>
      </c>
      <c r="D108" s="70"/>
      <c r="E108" s="3">
        <f t="shared" si="3"/>
        <v>93</v>
      </c>
      <c r="F108" s="15">
        <v>37.4</v>
      </c>
      <c r="G108" s="15">
        <v>1.2</v>
      </c>
      <c r="H108" s="15">
        <f t="shared" si="4"/>
        <v>36.199999999999996</v>
      </c>
      <c r="I108" s="4" t="s">
        <v>20</v>
      </c>
    </row>
    <row r="109" spans="1:9" x14ac:dyDescent="0.25">
      <c r="A109" t="s">
        <v>23</v>
      </c>
      <c r="B109" t="s">
        <v>46</v>
      </c>
      <c r="C109" s="70" t="s">
        <v>22</v>
      </c>
      <c r="D109" s="70"/>
      <c r="E109" s="3">
        <f t="shared" si="3"/>
        <v>94</v>
      </c>
      <c r="F109" s="15">
        <v>37.700000000000003</v>
      </c>
      <c r="G109" s="15">
        <v>1.4</v>
      </c>
      <c r="H109" s="15">
        <f t="shared" si="4"/>
        <v>36.300000000000004</v>
      </c>
      <c r="I109" s="4" t="s">
        <v>20</v>
      </c>
    </row>
    <row r="110" spans="1:9" x14ac:dyDescent="0.25">
      <c r="A110" t="s">
        <v>23</v>
      </c>
      <c r="B110" t="s">
        <v>46</v>
      </c>
      <c r="C110" s="70" t="s">
        <v>22</v>
      </c>
      <c r="D110" s="70"/>
      <c r="E110" s="3">
        <f t="shared" si="3"/>
        <v>95</v>
      </c>
      <c r="F110" s="15">
        <v>40</v>
      </c>
      <c r="G110" s="15">
        <v>1.6</v>
      </c>
      <c r="H110" s="15">
        <f t="shared" si="4"/>
        <v>38.4</v>
      </c>
      <c r="I110" s="4" t="s">
        <v>20</v>
      </c>
    </row>
    <row r="111" spans="1:9" x14ac:dyDescent="0.25">
      <c r="A111" t="s">
        <v>23</v>
      </c>
      <c r="B111" t="s">
        <v>46</v>
      </c>
      <c r="C111" s="70" t="s">
        <v>22</v>
      </c>
      <c r="D111" s="70"/>
      <c r="E111" s="3">
        <f t="shared" si="3"/>
        <v>96</v>
      </c>
      <c r="F111" s="15">
        <v>42.4</v>
      </c>
      <c r="G111" s="15">
        <v>1.3</v>
      </c>
      <c r="H111" s="15">
        <f t="shared" si="4"/>
        <v>41.1</v>
      </c>
      <c r="I111" s="4" t="s">
        <v>20</v>
      </c>
    </row>
    <row r="112" spans="1:9" x14ac:dyDescent="0.25">
      <c r="A112" t="s">
        <v>23</v>
      </c>
      <c r="B112" t="s">
        <v>46</v>
      </c>
      <c r="C112" s="70" t="s">
        <v>22</v>
      </c>
      <c r="D112" s="70"/>
      <c r="E112" s="3">
        <f t="shared" si="3"/>
        <v>97</v>
      </c>
      <c r="F112" s="15">
        <v>40.700000000000003</v>
      </c>
      <c r="G112" s="15">
        <v>1.1000000000000001</v>
      </c>
      <c r="H112" s="15">
        <f t="shared" si="4"/>
        <v>39.6</v>
      </c>
      <c r="I112" s="4" t="s">
        <v>20</v>
      </c>
    </row>
    <row r="113" spans="1:9" x14ac:dyDescent="0.25">
      <c r="A113" t="s">
        <v>23</v>
      </c>
      <c r="B113" t="s">
        <v>46</v>
      </c>
      <c r="C113" s="70" t="s">
        <v>22</v>
      </c>
      <c r="D113" s="70"/>
      <c r="E113" s="3">
        <f t="shared" si="3"/>
        <v>98</v>
      </c>
      <c r="F113" s="15">
        <v>39.5</v>
      </c>
      <c r="G113" s="15">
        <v>1.1000000000000001</v>
      </c>
      <c r="H113" s="15">
        <f t="shared" si="4"/>
        <v>38.4</v>
      </c>
      <c r="I113" s="4" t="s">
        <v>20</v>
      </c>
    </row>
    <row r="114" spans="1:9" x14ac:dyDescent="0.25">
      <c r="A114" t="s">
        <v>23</v>
      </c>
      <c r="B114" t="s">
        <v>46</v>
      </c>
      <c r="C114" s="70" t="s">
        <v>22</v>
      </c>
      <c r="D114" s="70"/>
      <c r="E114" s="3">
        <f t="shared" si="3"/>
        <v>99</v>
      </c>
      <c r="F114" s="15">
        <v>39.6</v>
      </c>
      <c r="G114" s="15">
        <v>1.3</v>
      </c>
      <c r="H114" s="15">
        <f t="shared" si="4"/>
        <v>38.300000000000004</v>
      </c>
      <c r="I114" s="4" t="s">
        <v>20</v>
      </c>
    </row>
    <row r="115" spans="1:9" x14ac:dyDescent="0.25">
      <c r="A115" t="s">
        <v>23</v>
      </c>
      <c r="B115" t="s">
        <v>46</v>
      </c>
      <c r="C115" s="70" t="s">
        <v>22</v>
      </c>
      <c r="D115" s="70"/>
      <c r="E115" s="3">
        <f t="shared" si="3"/>
        <v>100</v>
      </c>
      <c r="F115" s="15">
        <v>35</v>
      </c>
      <c r="G115" s="15">
        <v>1.3</v>
      </c>
      <c r="H115" s="15">
        <f t="shared" si="4"/>
        <v>33.700000000000003</v>
      </c>
      <c r="I115" s="4" t="s">
        <v>20</v>
      </c>
    </row>
    <row r="116" spans="1:9" x14ac:dyDescent="0.25">
      <c r="A116" t="s">
        <v>23</v>
      </c>
      <c r="B116" t="s">
        <v>46</v>
      </c>
      <c r="C116" s="70" t="s">
        <v>22</v>
      </c>
      <c r="D116" s="70"/>
      <c r="E116" s="3">
        <f t="shared" si="3"/>
        <v>101</v>
      </c>
      <c r="F116" s="15">
        <v>38.299999999999997</v>
      </c>
      <c r="G116" s="15">
        <v>1.2</v>
      </c>
      <c r="H116" s="15">
        <f t="shared" si="4"/>
        <v>37.099999999999994</v>
      </c>
      <c r="I116" s="4" t="s">
        <v>20</v>
      </c>
    </row>
    <row r="117" spans="1:9" x14ac:dyDescent="0.25">
      <c r="A117" t="s">
        <v>23</v>
      </c>
      <c r="B117" t="s">
        <v>46</v>
      </c>
      <c r="C117" s="70" t="s">
        <v>22</v>
      </c>
      <c r="D117" s="70"/>
      <c r="E117" s="3">
        <f t="shared" si="3"/>
        <v>102</v>
      </c>
      <c r="F117" s="15">
        <v>37.4</v>
      </c>
      <c r="G117" s="15">
        <v>1.4</v>
      </c>
      <c r="H117" s="15">
        <f t="shared" si="4"/>
        <v>36</v>
      </c>
      <c r="I117" s="4" t="s">
        <v>20</v>
      </c>
    </row>
    <row r="118" spans="1:9" x14ac:dyDescent="0.25">
      <c r="A118" t="s">
        <v>23</v>
      </c>
      <c r="B118" t="s">
        <v>46</v>
      </c>
      <c r="C118" s="70" t="s">
        <v>22</v>
      </c>
      <c r="D118" s="70"/>
      <c r="E118" s="3">
        <f t="shared" si="3"/>
        <v>103</v>
      </c>
      <c r="F118" s="15">
        <v>44.1</v>
      </c>
      <c r="G118" s="15">
        <v>1.4</v>
      </c>
      <c r="H118" s="15">
        <f t="shared" si="4"/>
        <v>42.7</v>
      </c>
      <c r="I118" s="4" t="s">
        <v>20</v>
      </c>
    </row>
    <row r="119" spans="1:9" x14ac:dyDescent="0.25">
      <c r="A119" t="s">
        <v>23</v>
      </c>
      <c r="B119" t="s">
        <v>46</v>
      </c>
      <c r="C119" s="70" t="s">
        <v>22</v>
      </c>
      <c r="D119" s="70"/>
      <c r="E119" s="3">
        <f t="shared" si="3"/>
        <v>104</v>
      </c>
      <c r="F119" s="15">
        <v>38.299999999999997</v>
      </c>
      <c r="G119" s="15">
        <v>1.1000000000000001</v>
      </c>
      <c r="H119" s="15">
        <f t="shared" si="4"/>
        <v>37.199999999999996</v>
      </c>
      <c r="I119" s="4" t="s">
        <v>20</v>
      </c>
    </row>
    <row r="120" spans="1:9" x14ac:dyDescent="0.25">
      <c r="A120" t="s">
        <v>23</v>
      </c>
      <c r="B120" t="s">
        <v>46</v>
      </c>
      <c r="C120" s="70" t="s">
        <v>22</v>
      </c>
      <c r="D120" s="70"/>
      <c r="E120" s="3">
        <f t="shared" si="3"/>
        <v>105</v>
      </c>
      <c r="F120" s="15">
        <v>42.1</v>
      </c>
      <c r="G120" s="15">
        <v>1.5</v>
      </c>
      <c r="H120" s="15">
        <f t="shared" si="4"/>
        <v>40.6</v>
      </c>
      <c r="I120" s="4" t="s">
        <v>20</v>
      </c>
    </row>
    <row r="121" spans="1:9" x14ac:dyDescent="0.25">
      <c r="A121" t="s">
        <v>23</v>
      </c>
      <c r="B121" t="s">
        <v>46</v>
      </c>
      <c r="C121" s="70" t="s">
        <v>22</v>
      </c>
      <c r="D121" s="70"/>
      <c r="E121" s="3">
        <f t="shared" si="3"/>
        <v>106</v>
      </c>
      <c r="F121" s="15">
        <v>43.8</v>
      </c>
      <c r="G121" s="15">
        <v>1.1000000000000001</v>
      </c>
      <c r="H121" s="15">
        <f t="shared" si="4"/>
        <v>42.699999999999996</v>
      </c>
      <c r="I121" s="4" t="s">
        <v>20</v>
      </c>
    </row>
    <row r="122" spans="1:9" x14ac:dyDescent="0.25">
      <c r="A122" t="s">
        <v>23</v>
      </c>
      <c r="B122" t="s">
        <v>46</v>
      </c>
      <c r="C122" s="70" t="s">
        <v>22</v>
      </c>
      <c r="D122" s="70"/>
      <c r="E122" s="3">
        <f t="shared" si="3"/>
        <v>107</v>
      </c>
      <c r="F122" s="15">
        <v>40.4</v>
      </c>
      <c r="G122" s="15">
        <v>1</v>
      </c>
      <c r="H122" s="15">
        <f t="shared" si="4"/>
        <v>39.4</v>
      </c>
      <c r="I122" s="4" t="s">
        <v>20</v>
      </c>
    </row>
    <row r="123" spans="1:9" x14ac:dyDescent="0.25">
      <c r="A123" t="s">
        <v>23</v>
      </c>
      <c r="B123" t="s">
        <v>46</v>
      </c>
      <c r="C123" s="70" t="s">
        <v>22</v>
      </c>
      <c r="D123" s="70"/>
      <c r="E123" s="3">
        <f t="shared" si="3"/>
        <v>108</v>
      </c>
      <c r="F123" s="15">
        <v>43.6</v>
      </c>
      <c r="G123" s="15">
        <v>1.3</v>
      </c>
      <c r="H123" s="15">
        <f t="shared" si="4"/>
        <v>42.300000000000004</v>
      </c>
      <c r="I123" s="4" t="s">
        <v>20</v>
      </c>
    </row>
    <row r="124" spans="1:9" x14ac:dyDescent="0.25">
      <c r="A124" t="s">
        <v>23</v>
      </c>
      <c r="B124" t="s">
        <v>46</v>
      </c>
      <c r="C124" s="70" t="s">
        <v>22</v>
      </c>
      <c r="D124" s="70"/>
      <c r="E124" s="3">
        <f t="shared" si="3"/>
        <v>109</v>
      </c>
      <c r="F124" s="15">
        <v>40.5</v>
      </c>
      <c r="G124" s="15">
        <v>1</v>
      </c>
      <c r="H124" s="15">
        <f t="shared" si="4"/>
        <v>39.5</v>
      </c>
      <c r="I124" s="4" t="s">
        <v>20</v>
      </c>
    </row>
    <row r="125" spans="1:9" x14ac:dyDescent="0.25">
      <c r="A125" t="s">
        <v>23</v>
      </c>
      <c r="B125" t="s">
        <v>46</v>
      </c>
      <c r="C125" s="70" t="s">
        <v>22</v>
      </c>
      <c r="D125" s="70"/>
      <c r="E125" s="3">
        <f t="shared" si="3"/>
        <v>110</v>
      </c>
      <c r="F125" s="15">
        <v>48.1</v>
      </c>
      <c r="G125" s="15">
        <v>1.1000000000000001</v>
      </c>
      <c r="H125" s="15">
        <f t="shared" si="4"/>
        <v>47</v>
      </c>
      <c r="I125" s="4" t="s">
        <v>20</v>
      </c>
    </row>
    <row r="126" spans="1:9" x14ac:dyDescent="0.25">
      <c r="A126" t="s">
        <v>23</v>
      </c>
      <c r="B126" t="s">
        <v>46</v>
      </c>
      <c r="C126" s="70" t="s">
        <v>22</v>
      </c>
      <c r="D126" s="70"/>
      <c r="E126" s="3">
        <f t="shared" si="3"/>
        <v>111</v>
      </c>
      <c r="F126" s="15">
        <v>38.6</v>
      </c>
      <c r="G126" s="15">
        <v>1.1000000000000001</v>
      </c>
      <c r="H126" s="15">
        <f t="shared" si="4"/>
        <v>37.5</v>
      </c>
      <c r="I126" s="4" t="s">
        <v>20</v>
      </c>
    </row>
    <row r="127" spans="1:9" x14ac:dyDescent="0.25">
      <c r="A127" t="s">
        <v>23</v>
      </c>
      <c r="B127" t="s">
        <v>46</v>
      </c>
      <c r="C127" s="70" t="s">
        <v>22</v>
      </c>
      <c r="D127" s="70"/>
      <c r="E127" s="3">
        <f t="shared" si="3"/>
        <v>112</v>
      </c>
      <c r="F127" s="15">
        <v>45.1</v>
      </c>
      <c r="G127" s="15">
        <v>1.2</v>
      </c>
      <c r="H127" s="15">
        <f t="shared" si="4"/>
        <v>43.9</v>
      </c>
      <c r="I127" s="4" t="s">
        <v>20</v>
      </c>
    </row>
    <row r="128" spans="1:9" x14ac:dyDescent="0.25">
      <c r="A128" t="s">
        <v>23</v>
      </c>
      <c r="B128" t="s">
        <v>46</v>
      </c>
      <c r="C128" s="70" t="s">
        <v>22</v>
      </c>
      <c r="D128" s="70"/>
      <c r="E128" s="3">
        <f t="shared" si="3"/>
        <v>113</v>
      </c>
      <c r="F128" s="15">
        <v>45.2</v>
      </c>
      <c r="G128" s="15">
        <v>1</v>
      </c>
      <c r="H128" s="15">
        <f t="shared" si="4"/>
        <v>44.2</v>
      </c>
      <c r="I128" s="4" t="s">
        <v>20</v>
      </c>
    </row>
    <row r="129" spans="1:9" x14ac:dyDescent="0.25">
      <c r="A129" t="s">
        <v>23</v>
      </c>
      <c r="B129" t="s">
        <v>46</v>
      </c>
      <c r="C129" s="70" t="s">
        <v>22</v>
      </c>
      <c r="D129" s="70"/>
      <c r="E129" s="3">
        <f t="shared" si="3"/>
        <v>114</v>
      </c>
      <c r="F129" s="15">
        <v>48.8</v>
      </c>
      <c r="G129" s="15">
        <v>1</v>
      </c>
      <c r="H129" s="15">
        <f t="shared" si="4"/>
        <v>47.8</v>
      </c>
      <c r="I129" s="4" t="s">
        <v>20</v>
      </c>
    </row>
    <row r="130" spans="1:9" x14ac:dyDescent="0.25">
      <c r="A130" t="s">
        <v>23</v>
      </c>
      <c r="B130" t="s">
        <v>46</v>
      </c>
      <c r="C130" s="70" t="s">
        <v>22</v>
      </c>
      <c r="D130" s="70"/>
      <c r="E130" s="3">
        <f t="shared" si="3"/>
        <v>115</v>
      </c>
      <c r="F130" s="15">
        <v>46.6</v>
      </c>
      <c r="G130" s="15">
        <v>1.3</v>
      </c>
      <c r="H130" s="15">
        <f t="shared" si="4"/>
        <v>45.300000000000004</v>
      </c>
      <c r="I130" s="4" t="s">
        <v>20</v>
      </c>
    </row>
    <row r="131" spans="1:9" x14ac:dyDescent="0.25">
      <c r="A131" t="s">
        <v>23</v>
      </c>
      <c r="B131" t="s">
        <v>46</v>
      </c>
      <c r="C131" s="70" t="s">
        <v>22</v>
      </c>
      <c r="D131" s="70"/>
      <c r="E131" s="3">
        <f t="shared" si="3"/>
        <v>116</v>
      </c>
      <c r="F131" s="15">
        <v>42.6</v>
      </c>
      <c r="G131" s="15">
        <v>1</v>
      </c>
      <c r="H131" s="15">
        <f t="shared" si="4"/>
        <v>41.6</v>
      </c>
      <c r="I131" s="4" t="s">
        <v>20</v>
      </c>
    </row>
    <row r="132" spans="1:9" x14ac:dyDescent="0.25">
      <c r="A132" t="s">
        <v>23</v>
      </c>
      <c r="B132" t="s">
        <v>46</v>
      </c>
      <c r="C132" s="70" t="s">
        <v>22</v>
      </c>
      <c r="D132" s="70"/>
      <c r="E132" s="3">
        <f t="shared" si="3"/>
        <v>117</v>
      </c>
      <c r="F132" s="15">
        <v>41.5</v>
      </c>
      <c r="G132" s="15">
        <v>1</v>
      </c>
      <c r="H132" s="15">
        <f t="shared" si="4"/>
        <v>40.5</v>
      </c>
      <c r="I132" s="4" t="s">
        <v>20</v>
      </c>
    </row>
    <row r="133" spans="1:9" x14ac:dyDescent="0.25">
      <c r="A133" t="s">
        <v>23</v>
      </c>
      <c r="B133" t="s">
        <v>46</v>
      </c>
      <c r="C133" s="70" t="s">
        <v>22</v>
      </c>
      <c r="D133" s="70"/>
      <c r="E133" s="3">
        <f t="shared" si="3"/>
        <v>118</v>
      </c>
      <c r="F133" s="15">
        <v>40.6</v>
      </c>
      <c r="G133" s="15">
        <v>1.1000000000000001</v>
      </c>
      <c r="H133" s="15">
        <f t="shared" si="4"/>
        <v>39.5</v>
      </c>
      <c r="I133" s="4" t="s">
        <v>20</v>
      </c>
    </row>
    <row r="134" spans="1:9" x14ac:dyDescent="0.25">
      <c r="A134" t="s">
        <v>23</v>
      </c>
      <c r="B134" t="s">
        <v>46</v>
      </c>
      <c r="C134" s="70" t="s">
        <v>22</v>
      </c>
      <c r="D134" s="70"/>
      <c r="E134" s="3">
        <f t="shared" si="3"/>
        <v>119</v>
      </c>
      <c r="F134" s="15">
        <v>42.4</v>
      </c>
      <c r="G134" s="15">
        <v>1.3</v>
      </c>
      <c r="H134" s="15">
        <f t="shared" si="4"/>
        <v>41.1</v>
      </c>
      <c r="I134" s="4" t="s">
        <v>20</v>
      </c>
    </row>
    <row r="135" spans="1:9" x14ac:dyDescent="0.25">
      <c r="A135" t="s">
        <v>23</v>
      </c>
      <c r="B135" t="s">
        <v>46</v>
      </c>
      <c r="C135" s="70" t="s">
        <v>22</v>
      </c>
      <c r="D135" s="70"/>
      <c r="E135" s="3">
        <f t="shared" si="3"/>
        <v>120</v>
      </c>
      <c r="F135" s="15">
        <v>44.8</v>
      </c>
      <c r="G135" s="15">
        <v>1.5</v>
      </c>
      <c r="H135" s="15">
        <f t="shared" si="4"/>
        <v>43.3</v>
      </c>
      <c r="I135" s="4" t="s">
        <v>20</v>
      </c>
    </row>
    <row r="136" spans="1:9" x14ac:dyDescent="0.25">
      <c r="A136" t="s">
        <v>23</v>
      </c>
      <c r="B136" t="s">
        <v>46</v>
      </c>
      <c r="C136" s="70" t="s">
        <v>22</v>
      </c>
      <c r="D136" s="70"/>
      <c r="E136" s="3">
        <f t="shared" si="3"/>
        <v>121</v>
      </c>
      <c r="F136" s="15">
        <v>43.1</v>
      </c>
      <c r="G136" s="15">
        <v>1.1000000000000001</v>
      </c>
      <c r="H136" s="15">
        <f t="shared" si="4"/>
        <v>42</v>
      </c>
      <c r="I136" s="4" t="s">
        <v>20</v>
      </c>
    </row>
    <row r="137" spans="1:9" x14ac:dyDescent="0.25">
      <c r="A137" t="s">
        <v>23</v>
      </c>
      <c r="B137" t="s">
        <v>46</v>
      </c>
      <c r="C137" s="70" t="s">
        <v>22</v>
      </c>
      <c r="D137" s="70"/>
      <c r="E137" s="3">
        <f t="shared" si="3"/>
        <v>122</v>
      </c>
      <c r="F137" s="15">
        <v>43.6</v>
      </c>
      <c r="G137" s="15">
        <v>1</v>
      </c>
      <c r="H137" s="15">
        <f t="shared" si="4"/>
        <v>42.6</v>
      </c>
      <c r="I137" s="4" t="s">
        <v>20</v>
      </c>
    </row>
    <row r="138" spans="1:9" x14ac:dyDescent="0.25">
      <c r="A138" t="s">
        <v>23</v>
      </c>
      <c r="B138" t="s">
        <v>46</v>
      </c>
      <c r="C138" s="70" t="s">
        <v>22</v>
      </c>
      <c r="D138" s="70"/>
      <c r="E138" s="3">
        <f t="shared" si="3"/>
        <v>123</v>
      </c>
      <c r="F138" s="15">
        <v>48</v>
      </c>
      <c r="G138" s="15">
        <v>1.3</v>
      </c>
      <c r="H138" s="15">
        <f t="shared" si="4"/>
        <v>46.7</v>
      </c>
      <c r="I138" s="4" t="s">
        <v>20</v>
      </c>
    </row>
    <row r="139" spans="1:9" x14ac:dyDescent="0.25">
      <c r="A139" t="s">
        <v>23</v>
      </c>
      <c r="B139" t="s">
        <v>46</v>
      </c>
      <c r="C139" s="70" t="s">
        <v>22</v>
      </c>
      <c r="D139" s="70"/>
      <c r="E139" s="3">
        <f t="shared" si="3"/>
        <v>124</v>
      </c>
      <c r="F139" s="15">
        <v>43.6</v>
      </c>
      <c r="G139" s="15">
        <v>1.5</v>
      </c>
      <c r="H139" s="15">
        <f t="shared" si="4"/>
        <v>42.1</v>
      </c>
      <c r="I139" s="4" t="s">
        <v>20</v>
      </c>
    </row>
    <row r="140" spans="1:9" x14ac:dyDescent="0.25">
      <c r="A140" t="s">
        <v>23</v>
      </c>
      <c r="B140" t="s">
        <v>46</v>
      </c>
      <c r="C140" s="70" t="s">
        <v>22</v>
      </c>
      <c r="D140" s="70"/>
      <c r="E140" s="3">
        <f t="shared" si="3"/>
        <v>125</v>
      </c>
      <c r="F140" s="15">
        <v>42.2</v>
      </c>
      <c r="G140" s="15">
        <v>1.6</v>
      </c>
      <c r="H140" s="15">
        <f t="shared" si="4"/>
        <v>40.6</v>
      </c>
      <c r="I140" s="4" t="s">
        <v>20</v>
      </c>
    </row>
    <row r="141" spans="1:9" x14ac:dyDescent="0.25">
      <c r="A141" t="s">
        <v>23</v>
      </c>
      <c r="B141" t="s">
        <v>46</v>
      </c>
      <c r="C141" s="70" t="s">
        <v>22</v>
      </c>
      <c r="D141" s="70"/>
      <c r="E141" s="3">
        <f t="shared" si="3"/>
        <v>126</v>
      </c>
      <c r="F141" s="15">
        <v>43.8</v>
      </c>
      <c r="G141" s="15">
        <v>1.1000000000000001</v>
      </c>
      <c r="H141" s="15">
        <f t="shared" si="4"/>
        <v>42.699999999999996</v>
      </c>
      <c r="I141" s="4" t="s">
        <v>20</v>
      </c>
    </row>
    <row r="142" spans="1:9" x14ac:dyDescent="0.25">
      <c r="A142" t="s">
        <v>23</v>
      </c>
      <c r="B142" t="s">
        <v>46</v>
      </c>
      <c r="C142" s="70" t="s">
        <v>22</v>
      </c>
      <c r="D142" s="70"/>
      <c r="E142" s="3">
        <f t="shared" si="3"/>
        <v>127</v>
      </c>
      <c r="F142" s="15">
        <v>42.1</v>
      </c>
      <c r="G142" s="15">
        <v>1.2</v>
      </c>
      <c r="H142" s="15">
        <f t="shared" si="4"/>
        <v>40.9</v>
      </c>
      <c r="I142" s="4" t="s">
        <v>20</v>
      </c>
    </row>
    <row r="143" spans="1:9" x14ac:dyDescent="0.25">
      <c r="A143" t="s">
        <v>23</v>
      </c>
      <c r="B143" t="s">
        <v>46</v>
      </c>
      <c r="C143" s="70" t="s">
        <v>22</v>
      </c>
      <c r="D143" s="70"/>
      <c r="E143" s="3">
        <f t="shared" si="3"/>
        <v>128</v>
      </c>
      <c r="F143" s="15">
        <v>41.6</v>
      </c>
      <c r="G143" s="15">
        <v>1.1000000000000001</v>
      </c>
      <c r="H143" s="15">
        <f t="shared" si="4"/>
        <v>40.5</v>
      </c>
      <c r="I143" s="4" t="s">
        <v>20</v>
      </c>
    </row>
    <row r="144" spans="1:9" x14ac:dyDescent="0.25">
      <c r="A144" t="s">
        <v>23</v>
      </c>
      <c r="B144" t="s">
        <v>46</v>
      </c>
      <c r="C144" s="70" t="s">
        <v>22</v>
      </c>
      <c r="D144" s="70"/>
      <c r="E144" s="3">
        <f t="shared" si="3"/>
        <v>129</v>
      </c>
      <c r="F144" s="15">
        <v>40.200000000000003</v>
      </c>
      <c r="G144" s="15">
        <v>1</v>
      </c>
      <c r="H144" s="15">
        <f t="shared" si="4"/>
        <v>39.200000000000003</v>
      </c>
      <c r="I144" s="4" t="s">
        <v>20</v>
      </c>
    </row>
    <row r="145" spans="1:9" x14ac:dyDescent="0.25">
      <c r="A145" t="s">
        <v>23</v>
      </c>
      <c r="B145" t="s">
        <v>46</v>
      </c>
      <c r="C145" s="70" t="s">
        <v>22</v>
      </c>
      <c r="D145" s="70"/>
      <c r="E145" s="3">
        <f t="shared" si="3"/>
        <v>130</v>
      </c>
      <c r="F145" s="15">
        <v>38.6</v>
      </c>
      <c r="G145" s="15">
        <v>1.1000000000000001</v>
      </c>
      <c r="H145" s="15">
        <f t="shared" si="4"/>
        <v>37.5</v>
      </c>
      <c r="I145" s="4" t="s">
        <v>20</v>
      </c>
    </row>
    <row r="146" spans="1:9" x14ac:dyDescent="0.25">
      <c r="A146" t="s">
        <v>23</v>
      </c>
      <c r="B146" t="s">
        <v>46</v>
      </c>
      <c r="C146" s="70" t="s">
        <v>22</v>
      </c>
      <c r="D146" s="70"/>
      <c r="E146" s="3">
        <f t="shared" ref="E146:E183" si="5">E145+1</f>
        <v>131</v>
      </c>
      <c r="F146" s="15">
        <v>42.5</v>
      </c>
      <c r="G146" s="15">
        <v>1.3</v>
      </c>
      <c r="H146" s="15">
        <f t="shared" si="4"/>
        <v>41.2</v>
      </c>
      <c r="I146" s="4" t="s">
        <v>20</v>
      </c>
    </row>
    <row r="147" spans="1:9" x14ac:dyDescent="0.25">
      <c r="A147" t="s">
        <v>23</v>
      </c>
      <c r="B147" t="s">
        <v>46</v>
      </c>
      <c r="C147" s="70" t="s">
        <v>22</v>
      </c>
      <c r="D147" s="70"/>
      <c r="E147" s="3">
        <f t="shared" si="5"/>
        <v>132</v>
      </c>
      <c r="F147" s="15">
        <v>44.3</v>
      </c>
      <c r="G147" s="15">
        <v>1.1000000000000001</v>
      </c>
      <c r="H147" s="15">
        <f t="shared" si="4"/>
        <v>43.199999999999996</v>
      </c>
      <c r="I147" s="4" t="s">
        <v>20</v>
      </c>
    </row>
    <row r="148" spans="1:9" x14ac:dyDescent="0.25">
      <c r="A148" t="s">
        <v>23</v>
      </c>
      <c r="B148" t="s">
        <v>46</v>
      </c>
      <c r="C148" s="70" t="s">
        <v>22</v>
      </c>
      <c r="D148" s="70"/>
      <c r="E148" s="3">
        <f t="shared" si="5"/>
        <v>133</v>
      </c>
      <c r="F148" s="15">
        <v>41.1</v>
      </c>
      <c r="G148" s="15">
        <v>1</v>
      </c>
      <c r="H148" s="15">
        <f t="shared" si="4"/>
        <v>40.1</v>
      </c>
      <c r="I148" s="4" t="s">
        <v>20</v>
      </c>
    </row>
    <row r="149" spans="1:9" x14ac:dyDescent="0.25">
      <c r="A149" t="s">
        <v>23</v>
      </c>
      <c r="B149" t="s">
        <v>46</v>
      </c>
      <c r="C149" s="70" t="s">
        <v>22</v>
      </c>
      <c r="D149" s="70"/>
      <c r="E149" s="3">
        <f t="shared" si="5"/>
        <v>134</v>
      </c>
      <c r="F149" s="15">
        <v>41.3</v>
      </c>
      <c r="G149" s="15">
        <v>1.1000000000000001</v>
      </c>
      <c r="H149" s="15">
        <f t="shared" si="4"/>
        <v>40.199999999999996</v>
      </c>
      <c r="I149" s="4" t="s">
        <v>20</v>
      </c>
    </row>
    <row r="150" spans="1:9" x14ac:dyDescent="0.25">
      <c r="A150" t="s">
        <v>23</v>
      </c>
      <c r="B150" t="s">
        <v>46</v>
      </c>
      <c r="C150" s="70" t="s">
        <v>22</v>
      </c>
      <c r="D150" s="70"/>
      <c r="E150" s="3">
        <f t="shared" si="5"/>
        <v>135</v>
      </c>
      <c r="F150" s="15">
        <v>40.4</v>
      </c>
      <c r="G150" s="15">
        <v>1.4</v>
      </c>
      <c r="H150" s="15">
        <f t="shared" si="4"/>
        <v>39</v>
      </c>
      <c r="I150" s="4" t="s">
        <v>20</v>
      </c>
    </row>
    <row r="151" spans="1:9" x14ac:dyDescent="0.25">
      <c r="A151" t="s">
        <v>23</v>
      </c>
      <c r="B151" t="s">
        <v>46</v>
      </c>
      <c r="C151" s="70" t="s">
        <v>22</v>
      </c>
      <c r="D151" s="70"/>
      <c r="E151" s="3">
        <f t="shared" si="5"/>
        <v>136</v>
      </c>
      <c r="F151" s="15">
        <v>41</v>
      </c>
      <c r="G151" s="15">
        <v>1.2</v>
      </c>
      <c r="H151" s="15">
        <f t="shared" si="4"/>
        <v>39.799999999999997</v>
      </c>
      <c r="I151" s="4" t="s">
        <v>20</v>
      </c>
    </row>
    <row r="152" spans="1:9" x14ac:dyDescent="0.25">
      <c r="A152" t="s">
        <v>23</v>
      </c>
      <c r="B152" t="s">
        <v>46</v>
      </c>
      <c r="C152" s="70" t="s">
        <v>22</v>
      </c>
      <c r="D152" s="70"/>
      <c r="E152" s="3">
        <f t="shared" si="5"/>
        <v>137</v>
      </c>
      <c r="F152" s="15">
        <v>43.4</v>
      </c>
      <c r="G152" s="15">
        <v>1.1000000000000001</v>
      </c>
      <c r="H152" s="15">
        <f t="shared" si="4"/>
        <v>42.3</v>
      </c>
      <c r="I152" s="4" t="s">
        <v>20</v>
      </c>
    </row>
    <row r="153" spans="1:9" x14ac:dyDescent="0.25">
      <c r="A153" t="s">
        <v>23</v>
      </c>
      <c r="B153" t="s">
        <v>46</v>
      </c>
      <c r="C153" s="70" t="s">
        <v>22</v>
      </c>
      <c r="D153" s="70"/>
      <c r="E153" s="3">
        <f t="shared" si="5"/>
        <v>138</v>
      </c>
      <c r="F153" s="15">
        <v>42</v>
      </c>
      <c r="G153" s="15">
        <v>1.1000000000000001</v>
      </c>
      <c r="H153" s="15">
        <f t="shared" si="4"/>
        <v>40.9</v>
      </c>
      <c r="I153" s="4" t="s">
        <v>20</v>
      </c>
    </row>
    <row r="154" spans="1:9" x14ac:dyDescent="0.25">
      <c r="A154" t="s">
        <v>23</v>
      </c>
      <c r="B154" t="s">
        <v>46</v>
      </c>
      <c r="C154" s="70" t="s">
        <v>22</v>
      </c>
      <c r="D154" s="70"/>
      <c r="E154" s="3">
        <f t="shared" si="5"/>
        <v>139</v>
      </c>
      <c r="F154" s="15">
        <v>38.299999999999997</v>
      </c>
      <c r="G154" s="15">
        <v>1.1000000000000001</v>
      </c>
      <c r="H154" s="15">
        <f t="shared" si="4"/>
        <v>37.199999999999996</v>
      </c>
      <c r="I154" s="4" t="s">
        <v>20</v>
      </c>
    </row>
    <row r="155" spans="1:9" x14ac:dyDescent="0.25">
      <c r="A155" t="s">
        <v>23</v>
      </c>
      <c r="B155" t="s">
        <v>46</v>
      </c>
      <c r="C155" s="70" t="s">
        <v>22</v>
      </c>
      <c r="D155" s="70"/>
      <c r="E155" s="3">
        <f t="shared" si="5"/>
        <v>140</v>
      </c>
      <c r="F155" s="15">
        <v>42.6</v>
      </c>
      <c r="G155" s="15">
        <v>1.2</v>
      </c>
      <c r="H155" s="15">
        <f t="shared" si="4"/>
        <v>41.4</v>
      </c>
      <c r="I155" s="4" t="s">
        <v>20</v>
      </c>
    </row>
    <row r="156" spans="1:9" x14ac:dyDescent="0.25">
      <c r="A156" t="s">
        <v>23</v>
      </c>
      <c r="B156" t="s">
        <v>46</v>
      </c>
      <c r="C156" s="70" t="s">
        <v>22</v>
      </c>
      <c r="D156" s="70"/>
      <c r="E156" s="3">
        <f t="shared" si="5"/>
        <v>141</v>
      </c>
      <c r="F156" s="15">
        <v>36.799999999999997</v>
      </c>
      <c r="G156" s="15">
        <v>1.3</v>
      </c>
      <c r="H156" s="15">
        <f t="shared" si="4"/>
        <v>35.5</v>
      </c>
      <c r="I156" s="4" t="s">
        <v>20</v>
      </c>
    </row>
    <row r="157" spans="1:9" x14ac:dyDescent="0.25">
      <c r="A157" t="s">
        <v>23</v>
      </c>
      <c r="B157" t="s">
        <v>46</v>
      </c>
      <c r="C157" s="70" t="s">
        <v>22</v>
      </c>
      <c r="D157" s="70"/>
      <c r="E157" s="3">
        <f t="shared" si="5"/>
        <v>142</v>
      </c>
      <c r="F157" s="15">
        <v>49</v>
      </c>
      <c r="G157" s="15">
        <v>1.6</v>
      </c>
      <c r="H157" s="15">
        <f t="shared" si="4"/>
        <v>47.4</v>
      </c>
      <c r="I157" s="4" t="s">
        <v>20</v>
      </c>
    </row>
    <row r="158" spans="1:9" x14ac:dyDescent="0.25">
      <c r="A158" t="s">
        <v>23</v>
      </c>
      <c r="B158" t="s">
        <v>46</v>
      </c>
      <c r="C158" s="70" t="s">
        <v>22</v>
      </c>
      <c r="D158" s="70"/>
      <c r="E158" s="3">
        <f t="shared" si="5"/>
        <v>143</v>
      </c>
      <c r="F158" s="15">
        <v>42.6</v>
      </c>
      <c r="G158" s="15">
        <v>1.2</v>
      </c>
      <c r="H158" s="15">
        <f t="shared" si="4"/>
        <v>41.4</v>
      </c>
      <c r="I158" s="4" t="s">
        <v>20</v>
      </c>
    </row>
    <row r="159" spans="1:9" x14ac:dyDescent="0.25">
      <c r="A159" t="s">
        <v>23</v>
      </c>
      <c r="B159" t="s">
        <v>46</v>
      </c>
      <c r="C159" s="70" t="s">
        <v>22</v>
      </c>
      <c r="D159" s="70"/>
      <c r="E159" s="3">
        <f t="shared" si="5"/>
        <v>144</v>
      </c>
      <c r="F159" s="15">
        <v>43.7</v>
      </c>
      <c r="G159" s="15">
        <v>1.1000000000000001</v>
      </c>
      <c r="H159" s="15">
        <f t="shared" si="4"/>
        <v>42.6</v>
      </c>
      <c r="I159" s="4" t="s">
        <v>20</v>
      </c>
    </row>
    <row r="160" spans="1:9" x14ac:dyDescent="0.25">
      <c r="A160" t="s">
        <v>23</v>
      </c>
      <c r="B160" t="s">
        <v>46</v>
      </c>
      <c r="C160" s="70" t="s">
        <v>22</v>
      </c>
      <c r="D160" s="70"/>
      <c r="E160" s="3">
        <f t="shared" si="5"/>
        <v>145</v>
      </c>
      <c r="F160" s="15">
        <v>45.3</v>
      </c>
      <c r="G160" s="15">
        <v>1</v>
      </c>
      <c r="H160" s="15">
        <f t="shared" si="4"/>
        <v>44.3</v>
      </c>
      <c r="I160" s="4" t="s">
        <v>20</v>
      </c>
    </row>
    <row r="161" spans="1:9" x14ac:dyDescent="0.25">
      <c r="A161" t="s">
        <v>23</v>
      </c>
      <c r="B161" t="s">
        <v>46</v>
      </c>
      <c r="C161" s="70" t="s">
        <v>22</v>
      </c>
      <c r="D161" s="70"/>
      <c r="E161" s="3">
        <f t="shared" si="5"/>
        <v>146</v>
      </c>
      <c r="F161" s="15">
        <v>41.4</v>
      </c>
      <c r="G161" s="15">
        <v>1.2</v>
      </c>
      <c r="H161" s="15">
        <f t="shared" si="4"/>
        <v>40.199999999999996</v>
      </c>
      <c r="I161" s="4" t="s">
        <v>20</v>
      </c>
    </row>
    <row r="162" spans="1:9" x14ac:dyDescent="0.25">
      <c r="A162" t="s">
        <v>23</v>
      </c>
      <c r="B162" t="s">
        <v>46</v>
      </c>
      <c r="C162" s="70" t="s">
        <v>22</v>
      </c>
      <c r="D162" s="70"/>
      <c r="E162" s="3">
        <f t="shared" si="5"/>
        <v>147</v>
      </c>
      <c r="F162" s="15">
        <v>40.799999999999997</v>
      </c>
      <c r="G162" s="15">
        <v>1.1000000000000001</v>
      </c>
      <c r="H162" s="15">
        <f t="shared" si="4"/>
        <v>39.699999999999996</v>
      </c>
      <c r="I162" s="4" t="s">
        <v>20</v>
      </c>
    </row>
    <row r="163" spans="1:9" x14ac:dyDescent="0.25">
      <c r="A163" t="s">
        <v>23</v>
      </c>
      <c r="B163" t="s">
        <v>46</v>
      </c>
      <c r="C163" s="70" t="s">
        <v>22</v>
      </c>
      <c r="D163" s="70"/>
      <c r="E163" s="3">
        <f t="shared" si="5"/>
        <v>148</v>
      </c>
      <c r="F163" s="15">
        <v>44.6</v>
      </c>
      <c r="G163" s="15">
        <v>1.4</v>
      </c>
      <c r="H163" s="15">
        <f t="shared" si="4"/>
        <v>43.2</v>
      </c>
      <c r="I163" s="4" t="s">
        <v>20</v>
      </c>
    </row>
    <row r="164" spans="1:9" x14ac:dyDescent="0.25">
      <c r="A164" t="s">
        <v>23</v>
      </c>
      <c r="B164" t="s">
        <v>46</v>
      </c>
      <c r="C164" s="70" t="s">
        <v>22</v>
      </c>
      <c r="D164" s="70"/>
      <c r="E164" s="3">
        <f t="shared" si="5"/>
        <v>149</v>
      </c>
      <c r="F164" s="15">
        <v>50.5</v>
      </c>
      <c r="G164" s="15">
        <v>1.7</v>
      </c>
      <c r="H164" s="15">
        <f t="shared" si="4"/>
        <v>48.8</v>
      </c>
      <c r="I164" s="4" t="s">
        <v>20</v>
      </c>
    </row>
    <row r="165" spans="1:9" x14ac:dyDescent="0.25">
      <c r="A165" t="s">
        <v>23</v>
      </c>
      <c r="B165" t="s">
        <v>46</v>
      </c>
      <c r="C165" s="70" t="s">
        <v>22</v>
      </c>
      <c r="D165" s="70"/>
      <c r="E165" s="3">
        <f t="shared" si="5"/>
        <v>150</v>
      </c>
      <c r="F165" s="15">
        <v>44.1</v>
      </c>
      <c r="G165" s="15">
        <v>1.1000000000000001</v>
      </c>
      <c r="H165" s="15">
        <f t="shared" ref="H165:H183" si="6">F165-G165</f>
        <v>43</v>
      </c>
      <c r="I165" s="4" t="s">
        <v>20</v>
      </c>
    </row>
    <row r="166" spans="1:9" x14ac:dyDescent="0.25">
      <c r="A166" t="s">
        <v>23</v>
      </c>
      <c r="B166" t="s">
        <v>46</v>
      </c>
      <c r="C166" s="70" t="s">
        <v>22</v>
      </c>
      <c r="D166" s="70"/>
      <c r="E166" s="3">
        <f t="shared" si="5"/>
        <v>151</v>
      </c>
      <c r="F166" s="15">
        <v>45</v>
      </c>
      <c r="G166" s="15">
        <v>1.1000000000000001</v>
      </c>
      <c r="H166" s="15">
        <f t="shared" si="6"/>
        <v>43.9</v>
      </c>
      <c r="I166" s="4" t="s">
        <v>20</v>
      </c>
    </row>
    <row r="167" spans="1:9" x14ac:dyDescent="0.25">
      <c r="A167" t="s">
        <v>23</v>
      </c>
      <c r="B167" t="s">
        <v>46</v>
      </c>
      <c r="C167" s="70" t="s">
        <v>22</v>
      </c>
      <c r="D167" s="70"/>
      <c r="E167" s="3">
        <f t="shared" si="5"/>
        <v>152</v>
      </c>
      <c r="F167" s="15">
        <v>44.2</v>
      </c>
      <c r="G167" s="15">
        <v>1</v>
      </c>
      <c r="H167" s="15">
        <f t="shared" si="6"/>
        <v>43.2</v>
      </c>
      <c r="I167" s="4" t="s">
        <v>20</v>
      </c>
    </row>
    <row r="168" spans="1:9" x14ac:dyDescent="0.25">
      <c r="A168" t="s">
        <v>23</v>
      </c>
      <c r="B168" t="s">
        <v>46</v>
      </c>
      <c r="C168" s="70" t="s">
        <v>22</v>
      </c>
      <c r="D168" s="70"/>
      <c r="E168" s="3">
        <f t="shared" si="5"/>
        <v>153</v>
      </c>
      <c r="F168" s="15">
        <v>39.700000000000003</v>
      </c>
      <c r="G168" s="15">
        <v>1</v>
      </c>
      <c r="H168" s="15">
        <f t="shared" si="6"/>
        <v>38.700000000000003</v>
      </c>
      <c r="I168" s="4" t="s">
        <v>20</v>
      </c>
    </row>
    <row r="169" spans="1:9" x14ac:dyDescent="0.25">
      <c r="A169" t="s">
        <v>23</v>
      </c>
      <c r="B169" t="s">
        <v>46</v>
      </c>
      <c r="C169" s="70" t="s">
        <v>22</v>
      </c>
      <c r="D169" s="70"/>
      <c r="E169" s="3">
        <f t="shared" si="5"/>
        <v>154</v>
      </c>
      <c r="F169" s="15">
        <v>40.4</v>
      </c>
      <c r="G169" s="15">
        <v>1.1000000000000001</v>
      </c>
      <c r="H169" s="15">
        <f t="shared" si="6"/>
        <v>39.299999999999997</v>
      </c>
      <c r="I169" s="4" t="s">
        <v>20</v>
      </c>
    </row>
    <row r="170" spans="1:9" x14ac:dyDescent="0.25">
      <c r="A170" t="s">
        <v>23</v>
      </c>
      <c r="B170" t="s">
        <v>46</v>
      </c>
      <c r="C170" s="70" t="s">
        <v>22</v>
      </c>
      <c r="D170" s="70"/>
      <c r="E170" s="3">
        <f t="shared" si="5"/>
        <v>155</v>
      </c>
      <c r="F170" s="15">
        <v>44.3</v>
      </c>
      <c r="G170" s="15">
        <v>1</v>
      </c>
      <c r="H170" s="15">
        <f t="shared" si="6"/>
        <v>43.3</v>
      </c>
      <c r="I170" s="4" t="s">
        <v>20</v>
      </c>
    </row>
    <row r="171" spans="1:9" x14ac:dyDescent="0.25">
      <c r="A171" t="s">
        <v>23</v>
      </c>
      <c r="B171" t="s">
        <v>46</v>
      </c>
      <c r="C171" s="70" t="s">
        <v>22</v>
      </c>
      <c r="D171" s="70"/>
      <c r="E171" s="3">
        <f t="shared" si="5"/>
        <v>156</v>
      </c>
      <c r="F171" s="15">
        <v>43.8</v>
      </c>
      <c r="G171" s="15">
        <v>1.2</v>
      </c>
      <c r="H171" s="15">
        <f t="shared" si="6"/>
        <v>42.599999999999994</v>
      </c>
      <c r="I171" s="4" t="s">
        <v>20</v>
      </c>
    </row>
    <row r="172" spans="1:9" x14ac:dyDescent="0.25">
      <c r="A172" t="s">
        <v>23</v>
      </c>
      <c r="B172" t="s">
        <v>46</v>
      </c>
      <c r="C172" s="70" t="s">
        <v>22</v>
      </c>
      <c r="D172" s="70"/>
      <c r="E172" s="3">
        <f t="shared" si="5"/>
        <v>157</v>
      </c>
      <c r="F172" s="15">
        <v>45.7</v>
      </c>
      <c r="G172" s="15">
        <v>1.1000000000000001</v>
      </c>
      <c r="H172" s="15">
        <f t="shared" si="6"/>
        <v>44.6</v>
      </c>
      <c r="I172" s="4" t="s">
        <v>20</v>
      </c>
    </row>
    <row r="173" spans="1:9" x14ac:dyDescent="0.25">
      <c r="A173" t="s">
        <v>23</v>
      </c>
      <c r="B173" t="s">
        <v>46</v>
      </c>
      <c r="C173" s="70" t="s">
        <v>22</v>
      </c>
      <c r="D173" s="70"/>
      <c r="E173" s="3">
        <f t="shared" si="5"/>
        <v>158</v>
      </c>
      <c r="F173" s="15">
        <v>43.2</v>
      </c>
      <c r="G173" s="15">
        <v>1</v>
      </c>
      <c r="H173" s="15">
        <f t="shared" si="6"/>
        <v>42.2</v>
      </c>
      <c r="I173" s="4" t="s">
        <v>20</v>
      </c>
    </row>
    <row r="174" spans="1:9" x14ac:dyDescent="0.25">
      <c r="A174" t="s">
        <v>23</v>
      </c>
      <c r="B174" t="s">
        <v>46</v>
      </c>
      <c r="C174" s="70" t="s">
        <v>22</v>
      </c>
      <c r="D174" s="70"/>
      <c r="E174" s="3">
        <f t="shared" si="5"/>
        <v>159</v>
      </c>
      <c r="F174" s="15">
        <v>46.4</v>
      </c>
      <c r="G174" s="15">
        <v>1.5</v>
      </c>
      <c r="H174" s="15">
        <f t="shared" si="6"/>
        <v>44.9</v>
      </c>
      <c r="I174" s="4" t="s">
        <v>20</v>
      </c>
    </row>
    <row r="175" spans="1:9" x14ac:dyDescent="0.25">
      <c r="A175" t="s">
        <v>23</v>
      </c>
      <c r="B175" t="s">
        <v>46</v>
      </c>
      <c r="C175" s="70" t="s">
        <v>22</v>
      </c>
      <c r="D175" s="70"/>
      <c r="E175" s="3">
        <f t="shared" si="5"/>
        <v>160</v>
      </c>
      <c r="F175" s="15">
        <v>46</v>
      </c>
      <c r="G175" s="15">
        <v>1.2</v>
      </c>
      <c r="H175" s="15">
        <f t="shared" si="6"/>
        <v>44.8</v>
      </c>
      <c r="I175" s="4" t="s">
        <v>20</v>
      </c>
    </row>
    <row r="176" spans="1:9" x14ac:dyDescent="0.25">
      <c r="A176" t="s">
        <v>23</v>
      </c>
      <c r="B176" t="s">
        <v>46</v>
      </c>
      <c r="C176" s="70" t="s">
        <v>22</v>
      </c>
      <c r="D176" s="70"/>
      <c r="E176" s="3">
        <f t="shared" si="5"/>
        <v>161</v>
      </c>
      <c r="F176" s="15">
        <v>44</v>
      </c>
      <c r="G176" s="15">
        <v>1.3</v>
      </c>
      <c r="H176" s="15">
        <f t="shared" si="6"/>
        <v>42.7</v>
      </c>
      <c r="I176" s="4" t="s">
        <v>20</v>
      </c>
    </row>
    <row r="177" spans="1:13" x14ac:dyDescent="0.25">
      <c r="A177" t="s">
        <v>23</v>
      </c>
      <c r="B177" t="s">
        <v>46</v>
      </c>
      <c r="C177" s="70" t="s">
        <v>22</v>
      </c>
      <c r="D177" s="70"/>
      <c r="E177" s="3">
        <f t="shared" si="5"/>
        <v>162</v>
      </c>
      <c r="F177" s="15">
        <v>46.4</v>
      </c>
      <c r="G177" s="15">
        <v>1.3</v>
      </c>
      <c r="H177" s="15">
        <f t="shared" si="6"/>
        <v>45.1</v>
      </c>
      <c r="I177" s="4" t="s">
        <v>20</v>
      </c>
    </row>
    <row r="178" spans="1:13" x14ac:dyDescent="0.25">
      <c r="A178" t="s">
        <v>23</v>
      </c>
      <c r="B178" t="s">
        <v>46</v>
      </c>
      <c r="C178" s="70" t="s">
        <v>22</v>
      </c>
      <c r="D178" s="70"/>
      <c r="E178" s="3">
        <f t="shared" si="5"/>
        <v>163</v>
      </c>
      <c r="F178" s="15">
        <v>51.1</v>
      </c>
      <c r="G178" s="15">
        <v>1.5</v>
      </c>
      <c r="H178" s="15">
        <f t="shared" si="6"/>
        <v>49.6</v>
      </c>
      <c r="I178" s="4" t="s">
        <v>20</v>
      </c>
    </row>
    <row r="179" spans="1:13" x14ac:dyDescent="0.25">
      <c r="A179" t="s">
        <v>23</v>
      </c>
      <c r="B179" t="s">
        <v>46</v>
      </c>
      <c r="C179" s="70" t="s">
        <v>22</v>
      </c>
      <c r="D179" s="70"/>
      <c r="E179" s="3">
        <f t="shared" si="5"/>
        <v>164</v>
      </c>
      <c r="F179" s="15">
        <v>42</v>
      </c>
      <c r="G179" s="15">
        <v>1</v>
      </c>
      <c r="H179" s="15">
        <f t="shared" si="6"/>
        <v>41</v>
      </c>
      <c r="I179" s="4" t="s">
        <v>20</v>
      </c>
    </row>
    <row r="180" spans="1:13" x14ac:dyDescent="0.25">
      <c r="A180" t="s">
        <v>23</v>
      </c>
      <c r="B180" t="s">
        <v>46</v>
      </c>
      <c r="C180" s="70" t="s">
        <v>22</v>
      </c>
      <c r="D180" s="70"/>
      <c r="E180" s="3">
        <f t="shared" si="5"/>
        <v>165</v>
      </c>
      <c r="F180" s="15">
        <v>40.799999999999997</v>
      </c>
      <c r="G180" s="15">
        <v>1.5</v>
      </c>
      <c r="H180" s="15">
        <f t="shared" si="6"/>
        <v>39.299999999999997</v>
      </c>
      <c r="I180" s="4" t="s">
        <v>20</v>
      </c>
    </row>
    <row r="181" spans="1:13" x14ac:dyDescent="0.25">
      <c r="A181" t="s">
        <v>23</v>
      </c>
      <c r="B181" t="s">
        <v>46</v>
      </c>
      <c r="C181" s="70" t="s">
        <v>22</v>
      </c>
      <c r="D181" s="70"/>
      <c r="E181" s="3">
        <f t="shared" si="5"/>
        <v>166</v>
      </c>
      <c r="F181" s="15">
        <v>42.6</v>
      </c>
      <c r="G181" s="15">
        <v>1.5</v>
      </c>
      <c r="H181" s="15">
        <f t="shared" si="6"/>
        <v>41.1</v>
      </c>
      <c r="I181" s="4" t="s">
        <v>20</v>
      </c>
    </row>
    <row r="182" spans="1:13" x14ac:dyDescent="0.25">
      <c r="A182" t="s">
        <v>23</v>
      </c>
      <c r="B182" t="s">
        <v>46</v>
      </c>
      <c r="C182" s="70" t="s">
        <v>22</v>
      </c>
      <c r="D182" s="70"/>
      <c r="E182" s="3">
        <f t="shared" si="5"/>
        <v>167</v>
      </c>
      <c r="F182" s="15">
        <v>47.3</v>
      </c>
      <c r="G182" s="15">
        <v>1.7</v>
      </c>
      <c r="H182" s="15">
        <f t="shared" si="6"/>
        <v>45.599999999999994</v>
      </c>
      <c r="I182" s="4" t="s">
        <v>20</v>
      </c>
    </row>
    <row r="183" spans="1:13" ht="15.75" thickBot="1" x14ac:dyDescent="0.3">
      <c r="A183" t="s">
        <v>23</v>
      </c>
      <c r="B183" t="s">
        <v>46</v>
      </c>
      <c r="C183" s="70" t="s">
        <v>22</v>
      </c>
      <c r="D183" s="70"/>
      <c r="E183" s="3">
        <f t="shared" si="5"/>
        <v>168</v>
      </c>
      <c r="F183" s="15">
        <v>38.5</v>
      </c>
      <c r="G183" s="15">
        <v>1.2</v>
      </c>
      <c r="H183" s="15">
        <f t="shared" si="6"/>
        <v>37.299999999999997</v>
      </c>
      <c r="I183" s="4" t="s">
        <v>20</v>
      </c>
    </row>
    <row r="184" spans="1:13" ht="16.5" thickTop="1" thickBot="1" x14ac:dyDescent="0.3">
      <c r="A184" s="75" t="s">
        <v>27</v>
      </c>
      <c r="B184" s="75"/>
      <c r="C184" s="75"/>
      <c r="D184" s="75"/>
      <c r="E184" s="12">
        <f>E183</f>
        <v>168</v>
      </c>
      <c r="F184" s="14">
        <f>SUM(F16:F183)</f>
        <v>7158.6000000000049</v>
      </c>
      <c r="G184" s="14">
        <f>SUM(G16:G183)</f>
        <v>199.39999999999975</v>
      </c>
      <c r="H184" s="14">
        <f>SUM(H16:H181)</f>
        <v>6876.3000000000011</v>
      </c>
      <c r="I184" s="13"/>
    </row>
    <row r="185" spans="1:13" ht="6.75" customHeight="1" thickTop="1" x14ac:dyDescent="0.25"/>
    <row r="186" spans="1:13" ht="15.75" thickBot="1" x14ac:dyDescent="0.3">
      <c r="A186" s="1" t="s">
        <v>29</v>
      </c>
    </row>
    <row r="187" spans="1:13" ht="30" customHeight="1" thickTop="1" thickBot="1" x14ac:dyDescent="0.3">
      <c r="A187" s="9" t="s">
        <v>7</v>
      </c>
      <c r="B187" s="9" t="s">
        <v>2</v>
      </c>
      <c r="C187" s="73" t="s">
        <v>6</v>
      </c>
      <c r="D187" s="73"/>
      <c r="E187" s="11" t="s">
        <v>30</v>
      </c>
      <c r="F187" s="11" t="s">
        <v>31</v>
      </c>
      <c r="G187" s="11" t="s">
        <v>32</v>
      </c>
      <c r="H187" s="11" t="s">
        <v>33</v>
      </c>
      <c r="I187" s="11" t="s">
        <v>37</v>
      </c>
      <c r="L187" s="60" t="s">
        <v>180</v>
      </c>
      <c r="M187" s="60" t="s">
        <v>181</v>
      </c>
    </row>
    <row r="188" spans="1:13" ht="16.5" thickTop="1" thickBot="1" x14ac:dyDescent="0.3">
      <c r="A188" t="s">
        <v>23</v>
      </c>
      <c r="B188" t="str">
        <f>B183</f>
        <v>MADURA</v>
      </c>
      <c r="C188" s="76" t="s">
        <v>22</v>
      </c>
      <c r="D188" s="76"/>
      <c r="E188" s="15">
        <v>6145.5</v>
      </c>
      <c r="F188" s="15">
        <v>515.6</v>
      </c>
      <c r="G188" s="15">
        <v>135.1</v>
      </c>
      <c r="H188" s="15">
        <f>IF(E188="","",(H184-E188-F188-G188))</f>
        <v>80.100000000001074</v>
      </c>
      <c r="I188" s="15">
        <f>IF(E188="","",SUM(E188:H188))</f>
        <v>6876.300000000002</v>
      </c>
      <c r="L188" s="15">
        <v>6145.4</v>
      </c>
    </row>
    <row r="189" spans="1:13" ht="16.5" thickTop="1" thickBot="1" x14ac:dyDescent="0.3">
      <c r="A189" s="77" t="s">
        <v>52</v>
      </c>
      <c r="B189" s="77"/>
      <c r="C189" s="77"/>
      <c r="D189" s="77"/>
      <c r="E189" s="38">
        <f>IF(E188="","",E188/$H184)</f>
        <v>0.89372191440164028</v>
      </c>
      <c r="F189" s="54">
        <f>IF(F188="","",F188/$H184)</f>
        <v>7.4982185186801026E-2</v>
      </c>
      <c r="G189" s="54">
        <f t="shared" ref="G189:H189" si="7">IF(G188="","",G188/$H184)</f>
        <v>1.964719398513735E-2</v>
      </c>
      <c r="H189" s="54">
        <f t="shared" si="7"/>
        <v>1.1648706426421341E-2</v>
      </c>
      <c r="I189" s="17">
        <f>IF(I188="","",SUM(E189:H189))</f>
        <v>1</v>
      </c>
    </row>
    <row r="190" spans="1:13" ht="15.75" thickTop="1" x14ac:dyDescent="0.25">
      <c r="A190" s="19" t="s">
        <v>16</v>
      </c>
    </row>
    <row r="191" spans="1:13" ht="10.5" customHeight="1" x14ac:dyDescent="0.25">
      <c r="A191" s="7" t="s">
        <v>36</v>
      </c>
    </row>
    <row r="192" spans="1:13" ht="10.5" customHeight="1" x14ac:dyDescent="0.25">
      <c r="A192" s="7" t="s">
        <v>35</v>
      </c>
    </row>
    <row r="193" spans="1:1" ht="10.5" customHeight="1" x14ac:dyDescent="0.25">
      <c r="A193" s="7" t="s">
        <v>34</v>
      </c>
    </row>
    <row r="194" spans="1:1" ht="10.5" customHeight="1" x14ac:dyDescent="0.25">
      <c r="A194" s="7" t="s">
        <v>50</v>
      </c>
    </row>
    <row r="195" spans="1:1" ht="6" customHeight="1" x14ac:dyDescent="0.25"/>
  </sheetData>
  <mergeCells count="175">
    <mergeCell ref="C95:D95"/>
    <mergeCell ref="C96:D96"/>
    <mergeCell ref="C97:D97"/>
    <mergeCell ref="C98:D98"/>
    <mergeCell ref="C99:D99"/>
    <mergeCell ref="C100:D100"/>
    <mergeCell ref="C89:D89"/>
    <mergeCell ref="C90:D90"/>
    <mergeCell ref="C91:D91"/>
    <mergeCell ref="C92:D92"/>
    <mergeCell ref="C93:D93"/>
    <mergeCell ref="C94:D94"/>
    <mergeCell ref="C83:D83"/>
    <mergeCell ref="C84:D84"/>
    <mergeCell ref="C85:D85"/>
    <mergeCell ref="C86:D86"/>
    <mergeCell ref="C87:D87"/>
    <mergeCell ref="C88:D88"/>
    <mergeCell ref="C77:D77"/>
    <mergeCell ref="C78:D78"/>
    <mergeCell ref="C79:D79"/>
    <mergeCell ref="C80:D80"/>
    <mergeCell ref="C81:D81"/>
    <mergeCell ref="C82:D82"/>
    <mergeCell ref="C71:D71"/>
    <mergeCell ref="C72:D72"/>
    <mergeCell ref="C73:D73"/>
    <mergeCell ref="C74:D74"/>
    <mergeCell ref="C75:D75"/>
    <mergeCell ref="C76:D76"/>
    <mergeCell ref="C65:D65"/>
    <mergeCell ref="C66:D66"/>
    <mergeCell ref="C67:D67"/>
    <mergeCell ref="C68:D68"/>
    <mergeCell ref="C69:D69"/>
    <mergeCell ref="C70:D70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188:D188"/>
    <mergeCell ref="A189:D189"/>
    <mergeCell ref="C17:D17"/>
    <mergeCell ref="C18:D18"/>
    <mergeCell ref="C19:D19"/>
    <mergeCell ref="C20:D20"/>
    <mergeCell ref="C21:D21"/>
    <mergeCell ref="C22:D22"/>
    <mergeCell ref="C23:D23"/>
    <mergeCell ref="C24:D24"/>
    <mergeCell ref="C181:D181"/>
    <mergeCell ref="C182:D182"/>
    <mergeCell ref="C183:D183"/>
    <mergeCell ref="A184:D184"/>
    <mergeCell ref="C187:D187"/>
    <mergeCell ref="C175:D175"/>
    <mergeCell ref="C176:D176"/>
    <mergeCell ref="C177:D177"/>
    <mergeCell ref="C178:D178"/>
    <mergeCell ref="C179:D179"/>
    <mergeCell ref="C180:D180"/>
    <mergeCell ref="C169:D169"/>
    <mergeCell ref="C170:D170"/>
    <mergeCell ref="C171:D171"/>
    <mergeCell ref="C172:D172"/>
    <mergeCell ref="C173:D173"/>
    <mergeCell ref="C174:D174"/>
    <mergeCell ref="C163:D163"/>
    <mergeCell ref="C164:D164"/>
    <mergeCell ref="C165:D165"/>
    <mergeCell ref="C166:D166"/>
    <mergeCell ref="C167:D167"/>
    <mergeCell ref="C168:D168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33:D133"/>
    <mergeCell ref="C134:D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21:D121"/>
    <mergeCell ref="C122:D122"/>
    <mergeCell ref="C123:D123"/>
    <mergeCell ref="C124:D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09:D109"/>
    <mergeCell ref="C110:D110"/>
    <mergeCell ref="C111:D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A1:I1"/>
    <mergeCell ref="A13:I13"/>
    <mergeCell ref="C15:D15"/>
    <mergeCell ref="C16:D16"/>
    <mergeCell ref="C101:D101"/>
    <mergeCell ref="C102:D102"/>
    <mergeCell ref="C25:D25"/>
    <mergeCell ref="C26:D26"/>
    <mergeCell ref="C27:D27"/>
    <mergeCell ref="C28:D28"/>
    <mergeCell ref="C35:D35"/>
    <mergeCell ref="C36:D36"/>
    <mergeCell ref="C37:D37"/>
    <mergeCell ref="C38:D38"/>
    <mergeCell ref="C39:D39"/>
    <mergeCell ref="C40:D40"/>
    <mergeCell ref="C29:D29"/>
    <mergeCell ref="C30:D30"/>
    <mergeCell ref="C31:D31"/>
    <mergeCell ref="C32:D32"/>
    <mergeCell ref="C33:D33"/>
    <mergeCell ref="C34:D34"/>
    <mergeCell ref="C47:D47"/>
    <mergeCell ref="C48:D48"/>
  </mergeCells>
  <pageMargins left="0" right="0" top="0" bottom="0" header="0" footer="0"/>
  <pageSetup paperSize="346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A511-F9FC-4C3B-B82B-E44EC73BCD93}">
  <sheetPr>
    <tabColor rgb="FF00B050"/>
  </sheetPr>
  <dimension ref="A1:L75"/>
  <sheetViews>
    <sheetView showGridLines="0" topLeftCell="A58" workbookViewId="0">
      <selection activeCell="A6" sqref="A6:XFD7"/>
    </sheetView>
  </sheetViews>
  <sheetFormatPr defaultRowHeight="15" x14ac:dyDescent="0.25"/>
  <cols>
    <col min="1" max="1" width="12.28515625" customWidth="1"/>
    <col min="2" max="2" width="15.7109375" customWidth="1"/>
    <col min="3" max="3" width="9.7109375" customWidth="1"/>
    <col min="4" max="4" width="10.5703125" bestFit="1" customWidth="1"/>
    <col min="5" max="5" width="9.28515625" style="3" customWidth="1"/>
    <col min="6" max="6" width="8.7109375" customWidth="1"/>
    <col min="7" max="7" width="9.28515625" customWidth="1"/>
    <col min="8" max="8" width="12.140625" customWidth="1"/>
    <col min="9" max="9" width="17.5703125" bestFit="1" customWidth="1"/>
    <col min="11" max="11" width="9.5703125" bestFit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46216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1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150</v>
      </c>
      <c r="C7" s="4">
        <v>46</v>
      </c>
      <c r="D7" s="4" t="s">
        <v>22</v>
      </c>
      <c r="E7" s="15">
        <v>2027.2</v>
      </c>
      <c r="F7" s="15">
        <f>G64</f>
        <v>63.600000000000023</v>
      </c>
      <c r="G7" s="15">
        <f>E7-F7</f>
        <v>1963.6</v>
      </c>
      <c r="H7" s="6">
        <v>46206</v>
      </c>
      <c r="I7" s="53" t="s">
        <v>149</v>
      </c>
      <c r="K7" s="27"/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151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84</v>
      </c>
      <c r="C16" s="74" t="s">
        <v>22</v>
      </c>
      <c r="D16" s="74"/>
      <c r="E16" s="3">
        <v>1</v>
      </c>
      <c r="F16" s="15">
        <v>51.8</v>
      </c>
      <c r="G16" s="15">
        <v>1</v>
      </c>
      <c r="H16" s="15">
        <f>F16-G16</f>
        <v>50.8</v>
      </c>
      <c r="I16" s="4" t="s">
        <v>20</v>
      </c>
    </row>
    <row r="17" spans="1:9" x14ac:dyDescent="0.25">
      <c r="A17" t="s">
        <v>23</v>
      </c>
      <c r="B17" t="s">
        <v>84</v>
      </c>
      <c r="C17" s="70" t="s">
        <v>22</v>
      </c>
      <c r="D17" s="70"/>
      <c r="E17" s="3">
        <f>E16+1</f>
        <v>2</v>
      </c>
      <c r="F17" s="15">
        <v>47.2</v>
      </c>
      <c r="G17" s="15">
        <v>1</v>
      </c>
      <c r="H17" s="15">
        <f t="shared" ref="H17:H63" si="0">F17-G17</f>
        <v>46.2</v>
      </c>
      <c r="I17" s="4" t="s">
        <v>20</v>
      </c>
    </row>
    <row r="18" spans="1:9" x14ac:dyDescent="0.25">
      <c r="A18" t="s">
        <v>23</v>
      </c>
      <c r="B18" t="s">
        <v>84</v>
      </c>
      <c r="C18" s="70" t="s">
        <v>22</v>
      </c>
      <c r="D18" s="70"/>
      <c r="E18" s="3">
        <f t="shared" ref="E18:E63" si="1">E17+1</f>
        <v>3</v>
      </c>
      <c r="F18" s="15">
        <v>40.299999999999997</v>
      </c>
      <c r="G18" s="15">
        <v>1.7</v>
      </c>
      <c r="H18" s="15">
        <f t="shared" si="0"/>
        <v>38.599999999999994</v>
      </c>
      <c r="I18" s="4" t="s">
        <v>20</v>
      </c>
    </row>
    <row r="19" spans="1:9" x14ac:dyDescent="0.25">
      <c r="A19" t="s">
        <v>23</v>
      </c>
      <c r="B19" t="s">
        <v>84</v>
      </c>
      <c r="C19" s="70" t="s">
        <v>22</v>
      </c>
      <c r="D19" s="70"/>
      <c r="E19" s="3">
        <f t="shared" si="1"/>
        <v>4</v>
      </c>
      <c r="F19" s="15">
        <v>49.8</v>
      </c>
      <c r="G19" s="15">
        <v>1.8</v>
      </c>
      <c r="H19" s="15">
        <f t="shared" si="0"/>
        <v>48</v>
      </c>
      <c r="I19" s="4" t="s">
        <v>20</v>
      </c>
    </row>
    <row r="20" spans="1:9" x14ac:dyDescent="0.25">
      <c r="A20" t="s">
        <v>23</v>
      </c>
      <c r="B20" t="s">
        <v>84</v>
      </c>
      <c r="C20" s="70" t="s">
        <v>22</v>
      </c>
      <c r="D20" s="70"/>
      <c r="E20" s="3">
        <f t="shared" si="1"/>
        <v>5</v>
      </c>
      <c r="F20" s="15">
        <v>48.5</v>
      </c>
      <c r="G20" s="15">
        <v>1.1000000000000001</v>
      </c>
      <c r="H20" s="15">
        <f t="shared" si="0"/>
        <v>47.4</v>
      </c>
      <c r="I20" s="4" t="s">
        <v>20</v>
      </c>
    </row>
    <row r="21" spans="1:9" x14ac:dyDescent="0.25">
      <c r="A21" t="s">
        <v>23</v>
      </c>
      <c r="B21" t="s">
        <v>84</v>
      </c>
      <c r="C21" s="70" t="s">
        <v>22</v>
      </c>
      <c r="D21" s="70"/>
      <c r="E21" s="3">
        <f t="shared" si="1"/>
        <v>6</v>
      </c>
      <c r="F21" s="15">
        <v>48.6</v>
      </c>
      <c r="G21" s="15">
        <v>1.3</v>
      </c>
      <c r="H21" s="15">
        <f t="shared" si="0"/>
        <v>47.300000000000004</v>
      </c>
      <c r="I21" s="4" t="s">
        <v>20</v>
      </c>
    </row>
    <row r="22" spans="1:9" x14ac:dyDescent="0.25">
      <c r="A22" t="s">
        <v>23</v>
      </c>
      <c r="B22" t="s">
        <v>84</v>
      </c>
      <c r="C22" s="70" t="s">
        <v>22</v>
      </c>
      <c r="D22" s="70"/>
      <c r="E22" s="3">
        <f t="shared" si="1"/>
        <v>7</v>
      </c>
      <c r="F22" s="15">
        <v>53.3</v>
      </c>
      <c r="G22" s="15">
        <v>1.7</v>
      </c>
      <c r="H22" s="15">
        <f t="shared" si="0"/>
        <v>51.599999999999994</v>
      </c>
      <c r="I22" s="4" t="s">
        <v>20</v>
      </c>
    </row>
    <row r="23" spans="1:9" x14ac:dyDescent="0.25">
      <c r="A23" t="s">
        <v>23</v>
      </c>
      <c r="B23" t="s">
        <v>84</v>
      </c>
      <c r="C23" s="70" t="s">
        <v>22</v>
      </c>
      <c r="D23" s="70"/>
      <c r="E23" s="3">
        <f t="shared" si="1"/>
        <v>8</v>
      </c>
      <c r="F23" s="15">
        <v>50</v>
      </c>
      <c r="G23" s="15">
        <v>1</v>
      </c>
      <c r="H23" s="15">
        <f t="shared" si="0"/>
        <v>49</v>
      </c>
      <c r="I23" s="4" t="s">
        <v>20</v>
      </c>
    </row>
    <row r="24" spans="1:9" x14ac:dyDescent="0.25">
      <c r="A24" t="s">
        <v>23</v>
      </c>
      <c r="B24" t="s">
        <v>84</v>
      </c>
      <c r="C24" s="70" t="s">
        <v>22</v>
      </c>
      <c r="D24" s="70"/>
      <c r="E24" s="3">
        <f t="shared" si="1"/>
        <v>9</v>
      </c>
      <c r="F24" s="15">
        <v>51.5</v>
      </c>
      <c r="G24" s="15">
        <v>1.6</v>
      </c>
      <c r="H24" s="15">
        <f t="shared" si="0"/>
        <v>49.9</v>
      </c>
      <c r="I24" s="4" t="s">
        <v>20</v>
      </c>
    </row>
    <row r="25" spans="1:9" x14ac:dyDescent="0.25">
      <c r="A25" t="s">
        <v>23</v>
      </c>
      <c r="B25" t="s">
        <v>84</v>
      </c>
      <c r="C25" s="70" t="s">
        <v>22</v>
      </c>
      <c r="D25" s="70"/>
      <c r="E25" s="3">
        <f t="shared" si="1"/>
        <v>10</v>
      </c>
      <c r="F25" s="15">
        <v>37.200000000000003</v>
      </c>
      <c r="G25" s="15">
        <v>1.3</v>
      </c>
      <c r="H25" s="15">
        <f t="shared" si="0"/>
        <v>35.900000000000006</v>
      </c>
      <c r="I25" s="4" t="s">
        <v>20</v>
      </c>
    </row>
    <row r="26" spans="1:9" x14ac:dyDescent="0.25">
      <c r="A26" t="s">
        <v>23</v>
      </c>
      <c r="B26" t="s">
        <v>84</v>
      </c>
      <c r="C26" s="70" t="s">
        <v>22</v>
      </c>
      <c r="D26" s="70"/>
      <c r="E26" s="3">
        <f t="shared" si="1"/>
        <v>11</v>
      </c>
      <c r="F26" s="15">
        <v>47.3</v>
      </c>
      <c r="G26" s="15">
        <v>1.2</v>
      </c>
      <c r="H26" s="15">
        <f t="shared" si="0"/>
        <v>46.099999999999994</v>
      </c>
      <c r="I26" s="4" t="s">
        <v>20</v>
      </c>
    </row>
    <row r="27" spans="1:9" x14ac:dyDescent="0.25">
      <c r="A27" t="s">
        <v>23</v>
      </c>
      <c r="B27" t="s">
        <v>84</v>
      </c>
      <c r="C27" s="70" t="s">
        <v>22</v>
      </c>
      <c r="D27" s="70"/>
      <c r="E27" s="3">
        <f t="shared" si="1"/>
        <v>12</v>
      </c>
      <c r="F27" s="15">
        <v>42.5</v>
      </c>
      <c r="G27" s="15">
        <v>1.6</v>
      </c>
      <c r="H27" s="15">
        <f t="shared" si="0"/>
        <v>40.9</v>
      </c>
      <c r="I27" s="4" t="s">
        <v>20</v>
      </c>
    </row>
    <row r="28" spans="1:9" x14ac:dyDescent="0.25">
      <c r="A28" t="s">
        <v>23</v>
      </c>
      <c r="B28" t="s">
        <v>84</v>
      </c>
      <c r="C28" s="70" t="s">
        <v>22</v>
      </c>
      <c r="D28" s="70"/>
      <c r="E28" s="3">
        <f t="shared" si="1"/>
        <v>13</v>
      </c>
      <c r="F28" s="15">
        <v>40.799999999999997</v>
      </c>
      <c r="G28" s="15">
        <v>1.6</v>
      </c>
      <c r="H28" s="15">
        <f t="shared" si="0"/>
        <v>39.199999999999996</v>
      </c>
      <c r="I28" s="4" t="s">
        <v>20</v>
      </c>
    </row>
    <row r="29" spans="1:9" x14ac:dyDescent="0.25">
      <c r="A29" t="s">
        <v>23</v>
      </c>
      <c r="B29" t="s">
        <v>84</v>
      </c>
      <c r="C29" s="70" t="s">
        <v>22</v>
      </c>
      <c r="D29" s="70"/>
      <c r="E29" s="3">
        <f t="shared" si="1"/>
        <v>14</v>
      </c>
      <c r="F29" s="15">
        <v>50.3</v>
      </c>
      <c r="G29" s="15">
        <v>1.5</v>
      </c>
      <c r="H29" s="15">
        <f t="shared" si="0"/>
        <v>48.8</v>
      </c>
      <c r="I29" s="4" t="s">
        <v>20</v>
      </c>
    </row>
    <row r="30" spans="1:9" x14ac:dyDescent="0.25">
      <c r="A30" t="s">
        <v>23</v>
      </c>
      <c r="B30" t="s">
        <v>84</v>
      </c>
      <c r="C30" s="70" t="s">
        <v>22</v>
      </c>
      <c r="D30" s="70"/>
      <c r="E30" s="3">
        <f t="shared" si="1"/>
        <v>15</v>
      </c>
      <c r="F30" s="15">
        <v>48.2</v>
      </c>
      <c r="G30" s="15">
        <v>1.3</v>
      </c>
      <c r="H30" s="15">
        <f t="shared" si="0"/>
        <v>46.900000000000006</v>
      </c>
      <c r="I30" s="4" t="s">
        <v>20</v>
      </c>
    </row>
    <row r="31" spans="1:9" x14ac:dyDescent="0.25">
      <c r="A31" t="s">
        <v>23</v>
      </c>
      <c r="B31" t="s">
        <v>84</v>
      </c>
      <c r="C31" s="70" t="s">
        <v>22</v>
      </c>
      <c r="D31" s="70"/>
      <c r="E31" s="3">
        <f t="shared" si="1"/>
        <v>16</v>
      </c>
      <c r="F31" s="15">
        <v>43.7</v>
      </c>
      <c r="G31" s="15">
        <v>2</v>
      </c>
      <c r="H31" s="15">
        <f t="shared" si="0"/>
        <v>41.7</v>
      </c>
      <c r="I31" s="4" t="s">
        <v>20</v>
      </c>
    </row>
    <row r="32" spans="1:9" x14ac:dyDescent="0.25">
      <c r="A32" t="s">
        <v>23</v>
      </c>
      <c r="B32" t="s">
        <v>84</v>
      </c>
      <c r="C32" s="70" t="s">
        <v>22</v>
      </c>
      <c r="D32" s="70"/>
      <c r="E32" s="3">
        <f t="shared" si="1"/>
        <v>17</v>
      </c>
      <c r="F32" s="15">
        <v>28</v>
      </c>
      <c r="G32" s="15">
        <v>0.8</v>
      </c>
      <c r="H32" s="15">
        <f t="shared" si="0"/>
        <v>27.2</v>
      </c>
      <c r="I32" s="4" t="s">
        <v>20</v>
      </c>
    </row>
    <row r="33" spans="1:9" x14ac:dyDescent="0.25">
      <c r="A33" t="s">
        <v>23</v>
      </c>
      <c r="B33" t="s">
        <v>84</v>
      </c>
      <c r="C33" s="70" t="s">
        <v>22</v>
      </c>
      <c r="D33" s="70"/>
      <c r="E33" s="3">
        <f t="shared" si="1"/>
        <v>18</v>
      </c>
      <c r="F33" s="15">
        <v>47.6</v>
      </c>
      <c r="G33" s="15">
        <v>1.2</v>
      </c>
      <c r="H33" s="15">
        <f>F33-G33</f>
        <v>46.4</v>
      </c>
      <c r="I33" s="4" t="s">
        <v>20</v>
      </c>
    </row>
    <row r="34" spans="1:9" x14ac:dyDescent="0.25">
      <c r="A34" t="s">
        <v>23</v>
      </c>
      <c r="B34" t="s">
        <v>84</v>
      </c>
      <c r="C34" s="70" t="s">
        <v>22</v>
      </c>
      <c r="D34" s="70"/>
      <c r="E34" s="3">
        <f t="shared" si="1"/>
        <v>19</v>
      </c>
      <c r="F34" s="15">
        <v>43</v>
      </c>
      <c r="G34" s="15">
        <v>1.4</v>
      </c>
      <c r="H34" s="15">
        <f t="shared" si="0"/>
        <v>41.6</v>
      </c>
      <c r="I34" s="4" t="s">
        <v>20</v>
      </c>
    </row>
    <row r="35" spans="1:9" x14ac:dyDescent="0.25">
      <c r="A35" t="s">
        <v>23</v>
      </c>
      <c r="B35" t="s">
        <v>84</v>
      </c>
      <c r="C35" s="70" t="s">
        <v>22</v>
      </c>
      <c r="D35" s="70"/>
      <c r="E35" s="3">
        <f t="shared" si="1"/>
        <v>20</v>
      </c>
      <c r="F35" s="15">
        <v>46</v>
      </c>
      <c r="G35" s="15">
        <v>1.8</v>
      </c>
      <c r="H35" s="15">
        <f t="shared" si="0"/>
        <v>44.2</v>
      </c>
      <c r="I35" s="4" t="s">
        <v>20</v>
      </c>
    </row>
    <row r="36" spans="1:9" x14ac:dyDescent="0.25">
      <c r="A36" t="s">
        <v>23</v>
      </c>
      <c r="B36" t="s">
        <v>84</v>
      </c>
      <c r="C36" s="70" t="s">
        <v>22</v>
      </c>
      <c r="D36" s="70"/>
      <c r="E36" s="3">
        <f t="shared" si="1"/>
        <v>21</v>
      </c>
      <c r="F36" s="15">
        <v>37.299999999999997</v>
      </c>
      <c r="G36" s="15">
        <v>1</v>
      </c>
      <c r="H36" s="15">
        <f t="shared" si="0"/>
        <v>36.299999999999997</v>
      </c>
      <c r="I36" s="4" t="s">
        <v>20</v>
      </c>
    </row>
    <row r="37" spans="1:9" x14ac:dyDescent="0.25">
      <c r="A37" t="s">
        <v>23</v>
      </c>
      <c r="B37" t="s">
        <v>84</v>
      </c>
      <c r="C37" s="70" t="s">
        <v>22</v>
      </c>
      <c r="D37" s="70"/>
      <c r="E37" s="3">
        <f t="shared" si="1"/>
        <v>22</v>
      </c>
      <c r="F37" s="15">
        <v>28.4</v>
      </c>
      <c r="G37" s="15">
        <v>1</v>
      </c>
      <c r="H37" s="15">
        <f t="shared" si="0"/>
        <v>27.4</v>
      </c>
      <c r="I37" s="4" t="s">
        <v>20</v>
      </c>
    </row>
    <row r="38" spans="1:9" x14ac:dyDescent="0.25">
      <c r="A38" t="s">
        <v>23</v>
      </c>
      <c r="B38" t="s">
        <v>84</v>
      </c>
      <c r="C38" s="70" t="s">
        <v>22</v>
      </c>
      <c r="D38" s="70"/>
      <c r="E38" s="3">
        <f t="shared" si="1"/>
        <v>23</v>
      </c>
      <c r="F38" s="15">
        <v>46.2</v>
      </c>
      <c r="G38" s="15">
        <v>1.8</v>
      </c>
      <c r="H38" s="15">
        <f t="shared" si="0"/>
        <v>44.400000000000006</v>
      </c>
      <c r="I38" s="4" t="s">
        <v>20</v>
      </c>
    </row>
    <row r="39" spans="1:9" x14ac:dyDescent="0.25">
      <c r="A39" t="s">
        <v>23</v>
      </c>
      <c r="B39" t="s">
        <v>84</v>
      </c>
      <c r="C39" s="70" t="s">
        <v>22</v>
      </c>
      <c r="D39" s="70"/>
      <c r="E39" s="3">
        <f t="shared" si="1"/>
        <v>24</v>
      </c>
      <c r="F39" s="15">
        <v>42.4</v>
      </c>
      <c r="G39" s="15">
        <v>1.3</v>
      </c>
      <c r="H39" s="15">
        <f t="shared" si="0"/>
        <v>41.1</v>
      </c>
      <c r="I39" s="4" t="s">
        <v>20</v>
      </c>
    </row>
    <row r="40" spans="1:9" x14ac:dyDescent="0.25">
      <c r="A40" t="s">
        <v>23</v>
      </c>
      <c r="B40" t="s">
        <v>84</v>
      </c>
      <c r="C40" s="70" t="s">
        <v>22</v>
      </c>
      <c r="D40" s="70"/>
      <c r="E40" s="3">
        <f t="shared" si="1"/>
        <v>25</v>
      </c>
      <c r="F40" s="15">
        <v>33.5</v>
      </c>
      <c r="G40" s="15">
        <v>1.1000000000000001</v>
      </c>
      <c r="H40" s="15">
        <f t="shared" si="0"/>
        <v>32.4</v>
      </c>
      <c r="I40" s="4" t="s">
        <v>20</v>
      </c>
    </row>
    <row r="41" spans="1:9" x14ac:dyDescent="0.25">
      <c r="A41" t="s">
        <v>23</v>
      </c>
      <c r="B41" t="s">
        <v>84</v>
      </c>
      <c r="C41" s="70" t="s">
        <v>22</v>
      </c>
      <c r="D41" s="70"/>
      <c r="E41" s="3">
        <f t="shared" si="1"/>
        <v>26</v>
      </c>
      <c r="F41" s="15">
        <v>36.1</v>
      </c>
      <c r="G41" s="15">
        <v>1.3</v>
      </c>
      <c r="H41" s="15">
        <f t="shared" si="0"/>
        <v>34.800000000000004</v>
      </c>
      <c r="I41" s="4" t="s">
        <v>20</v>
      </c>
    </row>
    <row r="42" spans="1:9" x14ac:dyDescent="0.25">
      <c r="A42" t="s">
        <v>23</v>
      </c>
      <c r="B42" t="s">
        <v>84</v>
      </c>
      <c r="C42" s="70" t="s">
        <v>22</v>
      </c>
      <c r="D42" s="70"/>
      <c r="E42" s="3">
        <f t="shared" si="1"/>
        <v>27</v>
      </c>
      <c r="F42" s="15">
        <v>53.3</v>
      </c>
      <c r="G42" s="15">
        <v>1.5</v>
      </c>
      <c r="H42" s="15">
        <f t="shared" si="0"/>
        <v>51.8</v>
      </c>
      <c r="I42" s="4" t="s">
        <v>20</v>
      </c>
    </row>
    <row r="43" spans="1:9" x14ac:dyDescent="0.25">
      <c r="A43" t="s">
        <v>23</v>
      </c>
      <c r="B43" t="s">
        <v>84</v>
      </c>
      <c r="C43" s="70" t="s">
        <v>22</v>
      </c>
      <c r="D43" s="70"/>
      <c r="E43" s="3">
        <f t="shared" si="1"/>
        <v>28</v>
      </c>
      <c r="F43" s="15">
        <v>46.6</v>
      </c>
      <c r="G43" s="15">
        <v>1.2</v>
      </c>
      <c r="H43" s="15">
        <f>F43-G43</f>
        <v>45.4</v>
      </c>
      <c r="I43" s="4" t="s">
        <v>20</v>
      </c>
    </row>
    <row r="44" spans="1:9" x14ac:dyDescent="0.25">
      <c r="A44" t="s">
        <v>23</v>
      </c>
      <c r="B44" t="s">
        <v>84</v>
      </c>
      <c r="C44" s="70" t="s">
        <v>22</v>
      </c>
      <c r="D44" s="70"/>
      <c r="E44" s="3">
        <f t="shared" si="1"/>
        <v>29</v>
      </c>
      <c r="F44" s="15">
        <v>46.1</v>
      </c>
      <c r="G44" s="15">
        <v>1.5</v>
      </c>
      <c r="H44" s="15">
        <f t="shared" si="0"/>
        <v>44.6</v>
      </c>
      <c r="I44" s="4" t="s">
        <v>20</v>
      </c>
    </row>
    <row r="45" spans="1:9" x14ac:dyDescent="0.25">
      <c r="A45" t="s">
        <v>23</v>
      </c>
      <c r="B45" t="s">
        <v>84</v>
      </c>
      <c r="C45" s="70" t="s">
        <v>22</v>
      </c>
      <c r="D45" s="70"/>
      <c r="E45" s="3">
        <f t="shared" si="1"/>
        <v>30</v>
      </c>
      <c r="F45" s="15">
        <v>45.8</v>
      </c>
      <c r="G45" s="15">
        <v>1.1000000000000001</v>
      </c>
      <c r="H45" s="15">
        <f t="shared" si="0"/>
        <v>44.699999999999996</v>
      </c>
      <c r="I45" s="4" t="s">
        <v>20</v>
      </c>
    </row>
    <row r="46" spans="1:9" x14ac:dyDescent="0.25">
      <c r="A46" t="s">
        <v>23</v>
      </c>
      <c r="B46" t="s">
        <v>84</v>
      </c>
      <c r="C46" s="70" t="s">
        <v>22</v>
      </c>
      <c r="D46" s="70"/>
      <c r="E46" s="3">
        <f t="shared" si="1"/>
        <v>31</v>
      </c>
      <c r="F46" s="15">
        <v>45.7</v>
      </c>
      <c r="G46" s="15">
        <v>1.7</v>
      </c>
      <c r="H46" s="15">
        <f t="shared" si="0"/>
        <v>44</v>
      </c>
      <c r="I46" s="4" t="s">
        <v>20</v>
      </c>
    </row>
    <row r="47" spans="1:9" x14ac:dyDescent="0.25">
      <c r="A47" t="s">
        <v>23</v>
      </c>
      <c r="B47" t="s">
        <v>84</v>
      </c>
      <c r="C47" s="70" t="s">
        <v>22</v>
      </c>
      <c r="D47" s="70"/>
      <c r="E47" s="3">
        <f t="shared" si="1"/>
        <v>32</v>
      </c>
      <c r="F47" s="15">
        <v>44.1</v>
      </c>
      <c r="G47" s="15">
        <v>1.1000000000000001</v>
      </c>
      <c r="H47" s="15">
        <f t="shared" si="0"/>
        <v>43</v>
      </c>
      <c r="I47" s="4" t="s">
        <v>20</v>
      </c>
    </row>
    <row r="48" spans="1:9" x14ac:dyDescent="0.25">
      <c r="A48" t="s">
        <v>23</v>
      </c>
      <c r="B48" t="s">
        <v>84</v>
      </c>
      <c r="C48" s="70" t="s">
        <v>22</v>
      </c>
      <c r="D48" s="70"/>
      <c r="E48" s="3">
        <f t="shared" si="1"/>
        <v>33</v>
      </c>
      <c r="F48" s="15">
        <v>32.4</v>
      </c>
      <c r="G48" s="15">
        <v>1</v>
      </c>
      <c r="H48" s="15">
        <f t="shared" si="0"/>
        <v>31.4</v>
      </c>
      <c r="I48" s="4" t="s">
        <v>20</v>
      </c>
    </row>
    <row r="49" spans="1:12" x14ac:dyDescent="0.25">
      <c r="A49" t="s">
        <v>23</v>
      </c>
      <c r="B49" t="s">
        <v>84</v>
      </c>
      <c r="C49" s="70" t="s">
        <v>22</v>
      </c>
      <c r="D49" s="70"/>
      <c r="E49" s="3">
        <f t="shared" si="1"/>
        <v>34</v>
      </c>
      <c r="F49" s="15">
        <v>46.4</v>
      </c>
      <c r="G49" s="15">
        <v>1.1000000000000001</v>
      </c>
      <c r="H49" s="15">
        <f t="shared" si="0"/>
        <v>45.3</v>
      </c>
      <c r="I49" s="4" t="s">
        <v>20</v>
      </c>
    </row>
    <row r="50" spans="1:12" x14ac:dyDescent="0.25">
      <c r="A50" t="s">
        <v>23</v>
      </c>
      <c r="B50" t="s">
        <v>84</v>
      </c>
      <c r="C50" s="70" t="s">
        <v>22</v>
      </c>
      <c r="D50" s="70"/>
      <c r="E50" s="3">
        <f t="shared" si="1"/>
        <v>35</v>
      </c>
      <c r="F50" s="15">
        <v>48.5</v>
      </c>
      <c r="G50" s="15">
        <v>1.7</v>
      </c>
      <c r="H50" s="15">
        <f t="shared" si="0"/>
        <v>46.8</v>
      </c>
      <c r="I50" s="4" t="s">
        <v>20</v>
      </c>
    </row>
    <row r="51" spans="1:12" x14ac:dyDescent="0.25">
      <c r="A51" t="s">
        <v>23</v>
      </c>
      <c r="B51" t="s">
        <v>84</v>
      </c>
      <c r="C51" s="70" t="s">
        <v>22</v>
      </c>
      <c r="D51" s="70"/>
      <c r="E51" s="3">
        <f t="shared" si="1"/>
        <v>36</v>
      </c>
      <c r="F51" s="15">
        <v>46</v>
      </c>
      <c r="G51" s="15">
        <v>1.1000000000000001</v>
      </c>
      <c r="H51" s="15">
        <f t="shared" si="0"/>
        <v>44.9</v>
      </c>
      <c r="I51" s="4" t="s">
        <v>20</v>
      </c>
    </row>
    <row r="52" spans="1:12" x14ac:dyDescent="0.25">
      <c r="A52" t="s">
        <v>23</v>
      </c>
      <c r="B52" t="s">
        <v>84</v>
      </c>
      <c r="C52" s="70" t="s">
        <v>22</v>
      </c>
      <c r="D52" s="70"/>
      <c r="E52" s="3">
        <f t="shared" si="1"/>
        <v>37</v>
      </c>
      <c r="F52" s="15">
        <v>40.6</v>
      </c>
      <c r="G52" s="15">
        <v>1.2</v>
      </c>
      <c r="H52" s="15">
        <f>F52-G52</f>
        <v>39.4</v>
      </c>
      <c r="I52" s="4" t="s">
        <v>20</v>
      </c>
    </row>
    <row r="53" spans="1:12" x14ac:dyDescent="0.25">
      <c r="A53" t="s">
        <v>23</v>
      </c>
      <c r="B53" t="s">
        <v>84</v>
      </c>
      <c r="C53" s="70" t="s">
        <v>22</v>
      </c>
      <c r="D53" s="70"/>
      <c r="E53" s="3">
        <f t="shared" si="1"/>
        <v>38</v>
      </c>
      <c r="F53" s="15">
        <v>42.6</v>
      </c>
      <c r="G53" s="15">
        <v>1.7</v>
      </c>
      <c r="H53" s="15">
        <f t="shared" si="0"/>
        <v>40.9</v>
      </c>
      <c r="I53" s="4" t="s">
        <v>20</v>
      </c>
    </row>
    <row r="54" spans="1:12" x14ac:dyDescent="0.25">
      <c r="A54" t="s">
        <v>23</v>
      </c>
      <c r="B54" t="s">
        <v>84</v>
      </c>
      <c r="C54" s="70" t="s">
        <v>22</v>
      </c>
      <c r="D54" s="70"/>
      <c r="E54" s="3">
        <f t="shared" si="1"/>
        <v>39</v>
      </c>
      <c r="F54" s="15">
        <v>43.9</v>
      </c>
      <c r="G54" s="15">
        <v>1.1000000000000001</v>
      </c>
      <c r="H54" s="15">
        <f t="shared" si="0"/>
        <v>42.8</v>
      </c>
      <c r="I54" s="4" t="s">
        <v>20</v>
      </c>
    </row>
    <row r="55" spans="1:12" x14ac:dyDescent="0.25">
      <c r="A55" t="s">
        <v>23</v>
      </c>
      <c r="B55" t="s">
        <v>84</v>
      </c>
      <c r="C55" s="70" t="s">
        <v>22</v>
      </c>
      <c r="D55" s="70"/>
      <c r="E55" s="3">
        <f t="shared" si="1"/>
        <v>40</v>
      </c>
      <c r="F55" s="15">
        <v>38.1</v>
      </c>
      <c r="G55" s="15">
        <v>1.5</v>
      </c>
      <c r="H55" s="15">
        <f t="shared" si="0"/>
        <v>36.6</v>
      </c>
      <c r="I55" s="4" t="s">
        <v>20</v>
      </c>
    </row>
    <row r="56" spans="1:12" x14ac:dyDescent="0.25">
      <c r="A56" t="s">
        <v>23</v>
      </c>
      <c r="B56" t="s">
        <v>84</v>
      </c>
      <c r="C56" s="70" t="s">
        <v>22</v>
      </c>
      <c r="D56" s="70"/>
      <c r="E56" s="3">
        <f t="shared" si="1"/>
        <v>41</v>
      </c>
      <c r="F56" s="15">
        <v>40.6</v>
      </c>
      <c r="G56" s="15">
        <v>1.1000000000000001</v>
      </c>
      <c r="H56" s="15">
        <f t="shared" si="0"/>
        <v>39.5</v>
      </c>
      <c r="I56" s="4" t="s">
        <v>20</v>
      </c>
    </row>
    <row r="57" spans="1:12" x14ac:dyDescent="0.25">
      <c r="A57" t="s">
        <v>23</v>
      </c>
      <c r="B57" t="s">
        <v>84</v>
      </c>
      <c r="C57" s="70" t="s">
        <v>22</v>
      </c>
      <c r="D57" s="70"/>
      <c r="E57" s="3">
        <f t="shared" si="1"/>
        <v>42</v>
      </c>
      <c r="F57" s="15">
        <v>46.3</v>
      </c>
      <c r="G57" s="15">
        <v>1.3</v>
      </c>
      <c r="H57" s="15">
        <f t="shared" si="0"/>
        <v>45</v>
      </c>
      <c r="I57" s="4" t="s">
        <v>20</v>
      </c>
    </row>
    <row r="58" spans="1:12" x14ac:dyDescent="0.25">
      <c r="A58" t="s">
        <v>23</v>
      </c>
      <c r="B58" t="s">
        <v>84</v>
      </c>
      <c r="C58" s="70" t="s">
        <v>22</v>
      </c>
      <c r="D58" s="70"/>
      <c r="E58" s="3">
        <f t="shared" si="1"/>
        <v>43</v>
      </c>
      <c r="F58" s="15">
        <v>28.9</v>
      </c>
      <c r="G58" s="15">
        <v>2</v>
      </c>
      <c r="H58" s="15">
        <f t="shared" si="0"/>
        <v>26.9</v>
      </c>
      <c r="I58" s="4" t="s">
        <v>20</v>
      </c>
    </row>
    <row r="59" spans="1:12" x14ac:dyDescent="0.25">
      <c r="A59" t="s">
        <v>23</v>
      </c>
      <c r="B59" t="s">
        <v>84</v>
      </c>
      <c r="C59" s="70" t="s">
        <v>22</v>
      </c>
      <c r="D59" s="70"/>
      <c r="E59" s="3">
        <f t="shared" si="1"/>
        <v>44</v>
      </c>
      <c r="F59" s="15">
        <v>45.6</v>
      </c>
      <c r="G59" s="15">
        <v>1.8</v>
      </c>
      <c r="H59" s="15">
        <f t="shared" si="0"/>
        <v>43.800000000000004</v>
      </c>
      <c r="I59" s="4" t="s">
        <v>20</v>
      </c>
    </row>
    <row r="60" spans="1:12" x14ac:dyDescent="0.25">
      <c r="A60" t="s">
        <v>23</v>
      </c>
      <c r="B60" t="s">
        <v>84</v>
      </c>
      <c r="C60" s="70" t="s">
        <v>22</v>
      </c>
      <c r="D60" s="70"/>
      <c r="E60" s="3">
        <f t="shared" si="1"/>
        <v>45</v>
      </c>
      <c r="F60" s="15">
        <v>45.2</v>
      </c>
      <c r="G60" s="15">
        <v>1.6</v>
      </c>
      <c r="H60" s="15">
        <f t="shared" si="0"/>
        <v>43.6</v>
      </c>
      <c r="I60" s="4" t="s">
        <v>20</v>
      </c>
    </row>
    <row r="61" spans="1:12" x14ac:dyDescent="0.25">
      <c r="A61" t="s">
        <v>23</v>
      </c>
      <c r="B61" t="s">
        <v>84</v>
      </c>
      <c r="C61" s="70" t="s">
        <v>22</v>
      </c>
      <c r="D61" s="70"/>
      <c r="E61" s="3">
        <f t="shared" si="1"/>
        <v>46</v>
      </c>
      <c r="F61" s="15">
        <v>37.5</v>
      </c>
      <c r="G61" s="15">
        <v>1.5</v>
      </c>
      <c r="H61" s="15">
        <f t="shared" si="0"/>
        <v>36</v>
      </c>
      <c r="I61" s="4" t="s">
        <v>20</v>
      </c>
    </row>
    <row r="62" spans="1:12" x14ac:dyDescent="0.25">
      <c r="A62" t="s">
        <v>23</v>
      </c>
      <c r="B62" t="s">
        <v>84</v>
      </c>
      <c r="C62" s="70" t="s">
        <v>61</v>
      </c>
      <c r="D62" s="70"/>
      <c r="E62" s="3">
        <f t="shared" si="1"/>
        <v>47</v>
      </c>
      <c r="F62" s="15">
        <v>18</v>
      </c>
      <c r="G62" s="15">
        <v>0.2</v>
      </c>
      <c r="H62" s="15">
        <f t="shared" si="0"/>
        <v>17.8</v>
      </c>
      <c r="I62" s="4" t="s">
        <v>42</v>
      </c>
    </row>
    <row r="63" spans="1:12" ht="15.75" thickBot="1" x14ac:dyDescent="0.3">
      <c r="A63" t="s">
        <v>23</v>
      </c>
      <c r="B63" t="s">
        <v>84</v>
      </c>
      <c r="C63" s="70" t="s">
        <v>61</v>
      </c>
      <c r="D63" s="70"/>
      <c r="E63" s="3">
        <f t="shared" si="1"/>
        <v>48</v>
      </c>
      <c r="F63" s="15">
        <v>6.4</v>
      </c>
      <c r="G63" s="15">
        <v>0.2</v>
      </c>
      <c r="H63" s="15">
        <f t="shared" si="0"/>
        <v>6.2</v>
      </c>
      <c r="I63" s="4" t="s">
        <v>42</v>
      </c>
    </row>
    <row r="64" spans="1:12" ht="16.5" thickTop="1" thickBot="1" x14ac:dyDescent="0.3">
      <c r="A64" s="75" t="s">
        <v>27</v>
      </c>
      <c r="B64" s="75"/>
      <c r="C64" s="75"/>
      <c r="D64" s="75"/>
      <c r="E64" s="12">
        <f>E63</f>
        <v>48</v>
      </c>
      <c r="F64" s="14">
        <f>SUM(F16:F63)</f>
        <v>2028.0999999999997</v>
      </c>
      <c r="G64" s="14">
        <f>SUM(G16:G63)</f>
        <v>63.600000000000023</v>
      </c>
      <c r="H64" s="14">
        <f>SUM(H16:H61)</f>
        <v>1940.5</v>
      </c>
      <c r="I64" s="13"/>
      <c r="K64" s="27"/>
      <c r="L64" s="56"/>
    </row>
    <row r="65" spans="1:9" ht="6.75" customHeight="1" thickTop="1" x14ac:dyDescent="0.25"/>
    <row r="66" spans="1:9" ht="15.75" thickBot="1" x14ac:dyDescent="0.3">
      <c r="A66" s="1" t="s">
        <v>29</v>
      </c>
    </row>
    <row r="67" spans="1:9" ht="30" customHeight="1" thickTop="1" thickBot="1" x14ac:dyDescent="0.3">
      <c r="A67" s="9" t="s">
        <v>7</v>
      </c>
      <c r="B67" s="9" t="s">
        <v>2</v>
      </c>
      <c r="C67" s="73" t="s">
        <v>6</v>
      </c>
      <c r="D67" s="73"/>
      <c r="E67" s="11" t="s">
        <v>30</v>
      </c>
      <c r="F67" s="11" t="s">
        <v>31</v>
      </c>
      <c r="G67" s="11" t="s">
        <v>32</v>
      </c>
      <c r="H67" s="11" t="s">
        <v>33</v>
      </c>
      <c r="I67" s="11" t="s">
        <v>37</v>
      </c>
    </row>
    <row r="68" spans="1:9" ht="16.5" thickTop="1" thickBot="1" x14ac:dyDescent="0.3">
      <c r="A68" t="s">
        <v>23</v>
      </c>
      <c r="B68" t="str">
        <f>B59</f>
        <v>REMBANG</v>
      </c>
      <c r="C68" s="76" t="str">
        <f>C59</f>
        <v>Ball Goni</v>
      </c>
      <c r="D68" s="76"/>
      <c r="E68" s="15">
        <v>1646.4</v>
      </c>
      <c r="F68" s="15">
        <v>227.7</v>
      </c>
      <c r="G68" s="15">
        <v>59</v>
      </c>
      <c r="H68" s="15">
        <f>IF(E68="","",(H64-E68-F68-G68))</f>
        <v>7.3999999999999204</v>
      </c>
      <c r="I68" s="15">
        <f>IF(E68="","",SUM(E68:H68))</f>
        <v>1940.5</v>
      </c>
    </row>
    <row r="69" spans="1:9" ht="16.5" thickTop="1" thickBot="1" x14ac:dyDescent="0.3">
      <c r="A69" s="77" t="s">
        <v>52</v>
      </c>
      <c r="B69" s="77"/>
      <c r="C69" s="77"/>
      <c r="D69" s="77"/>
      <c r="E69" s="20">
        <f>IF(E68="","",E68/$H64)</f>
        <v>0.84844112342179856</v>
      </c>
      <c r="F69" s="32">
        <f>IF(F68="","",F68/$H64)</f>
        <v>0.1173408915228034</v>
      </c>
      <c r="G69" s="54">
        <f t="shared" ref="G69:H69" si="2">IF(G68="","",G68/$H64)</f>
        <v>3.040453491368204E-2</v>
      </c>
      <c r="H69" s="32">
        <f t="shared" si="2"/>
        <v>3.8134501417160117E-3</v>
      </c>
      <c r="I69" s="17">
        <f>IF(I68="","",SUM(E69:H69))</f>
        <v>0.99999999999999989</v>
      </c>
    </row>
    <row r="70" spans="1:9" ht="15.75" thickTop="1" x14ac:dyDescent="0.25">
      <c r="A70" s="19" t="s">
        <v>16</v>
      </c>
    </row>
    <row r="71" spans="1:9" ht="10.5" customHeight="1" x14ac:dyDescent="0.25">
      <c r="A71" s="7" t="s">
        <v>36</v>
      </c>
    </row>
    <row r="72" spans="1:9" ht="10.5" customHeight="1" x14ac:dyDescent="0.25">
      <c r="A72" s="7" t="s">
        <v>35</v>
      </c>
    </row>
    <row r="73" spans="1:9" ht="10.5" customHeight="1" x14ac:dyDescent="0.25">
      <c r="A73" s="7" t="s">
        <v>34</v>
      </c>
    </row>
    <row r="74" spans="1:9" ht="10.5" customHeight="1" x14ac:dyDescent="0.25">
      <c r="A74" s="7" t="s">
        <v>50</v>
      </c>
    </row>
    <row r="75" spans="1:9" ht="6" customHeight="1" x14ac:dyDescent="0.25"/>
  </sheetData>
  <mergeCells count="55">
    <mergeCell ref="C48:D48"/>
    <mergeCell ref="C62:D62"/>
    <mergeCell ref="C63:D63"/>
    <mergeCell ref="C61:D61"/>
    <mergeCell ref="C50:D50"/>
    <mergeCell ref="C51:D51"/>
    <mergeCell ref="C52:D52"/>
    <mergeCell ref="C53:D53"/>
    <mergeCell ref="C54:D54"/>
    <mergeCell ref="A64:D64"/>
    <mergeCell ref="C67:D67"/>
    <mergeCell ref="C68:D68"/>
    <mergeCell ref="A69:D69"/>
    <mergeCell ref="C35:D35"/>
    <mergeCell ref="C36:D36"/>
    <mergeCell ref="C37:D37"/>
    <mergeCell ref="C38:D38"/>
    <mergeCell ref="C39:D39"/>
    <mergeCell ref="C55:D55"/>
    <mergeCell ref="C56:D56"/>
    <mergeCell ref="C57:D57"/>
    <mergeCell ref="C58:D58"/>
    <mergeCell ref="C59:D59"/>
    <mergeCell ref="C60:D60"/>
    <mergeCell ref="C49:D49"/>
    <mergeCell ref="C31:D31"/>
    <mergeCell ref="C32:D32"/>
    <mergeCell ref="C33:D33"/>
    <mergeCell ref="C34:D34"/>
    <mergeCell ref="C47:D47"/>
    <mergeCell ref="C40:D40"/>
    <mergeCell ref="C41:D41"/>
    <mergeCell ref="C42:D42"/>
    <mergeCell ref="C43:D43"/>
    <mergeCell ref="C44:D44"/>
    <mergeCell ref="C45:D45"/>
    <mergeCell ref="C46:D46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18:D18"/>
    <mergeCell ref="A1:I1"/>
    <mergeCell ref="A13:I13"/>
    <mergeCell ref="C15:D15"/>
    <mergeCell ref="C16:D16"/>
    <mergeCell ref="C17:D17"/>
  </mergeCells>
  <pageMargins left="0" right="0" top="0" bottom="0" header="0" footer="0"/>
  <pageSetup paperSize="20000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AB8D-34A5-41E6-8D6F-EA25FF60F588}">
  <sheetPr>
    <tabColor rgb="FF00B050"/>
  </sheetPr>
  <dimension ref="A1:L37"/>
  <sheetViews>
    <sheetView showGridLines="0" topLeftCell="A19" workbookViewId="0">
      <selection activeCell="M39" sqref="M39"/>
    </sheetView>
  </sheetViews>
  <sheetFormatPr defaultRowHeight="15" x14ac:dyDescent="0.25"/>
  <cols>
    <col min="1" max="1" width="11.140625" customWidth="1"/>
    <col min="2" max="2" width="14.28515625" customWidth="1"/>
    <col min="3" max="3" width="9.85546875" customWidth="1"/>
    <col min="4" max="4" width="9.42578125" customWidth="1"/>
    <col min="5" max="5" width="10.28515625" style="3" customWidth="1"/>
    <col min="6" max="6" width="10" customWidth="1"/>
    <col min="7" max="7" width="9.140625" customWidth="1"/>
    <col min="8" max="8" width="12.28515625" customWidth="1"/>
    <col min="9" max="9" width="18.7109375" customWidth="1"/>
    <col min="11" max="11" width="9.5703125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46216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62</v>
      </c>
      <c r="C7" s="4">
        <v>10</v>
      </c>
      <c r="D7" s="4" t="s">
        <v>14</v>
      </c>
      <c r="E7" s="15">
        <v>1355</v>
      </c>
      <c r="F7" s="15">
        <f>G26</f>
        <v>120.49999999999999</v>
      </c>
      <c r="G7" s="15">
        <f>E7-F7</f>
        <v>1234.5</v>
      </c>
      <c r="H7" s="6">
        <v>46210</v>
      </c>
      <c r="I7" s="53" t="s">
        <v>152</v>
      </c>
      <c r="K7" s="27">
        <f>E7/10</f>
        <v>135.5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145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62</v>
      </c>
      <c r="C16" s="74" t="s">
        <v>14</v>
      </c>
      <c r="D16" s="74"/>
      <c r="E16" s="3">
        <v>1</v>
      </c>
      <c r="F16" s="15">
        <v>135.5</v>
      </c>
      <c r="G16" s="15">
        <v>12.1</v>
      </c>
      <c r="H16" s="15">
        <f>F16-G16</f>
        <v>123.4</v>
      </c>
      <c r="I16" s="4" t="s">
        <v>20</v>
      </c>
    </row>
    <row r="17" spans="1:9" x14ac:dyDescent="0.25">
      <c r="A17" t="s">
        <v>23</v>
      </c>
      <c r="B17" t="s">
        <v>62</v>
      </c>
      <c r="C17" s="70" t="s">
        <v>14</v>
      </c>
      <c r="D17" s="70"/>
      <c r="E17" s="3">
        <f>E16+1</f>
        <v>2</v>
      </c>
      <c r="F17" s="15">
        <f>F16</f>
        <v>135.5</v>
      </c>
      <c r="G17" s="15">
        <v>12</v>
      </c>
      <c r="H17" s="15">
        <f t="shared" ref="H17:H25" si="0">F17-G17</f>
        <v>123.5</v>
      </c>
      <c r="I17" s="4" t="s">
        <v>20</v>
      </c>
    </row>
    <row r="18" spans="1:9" x14ac:dyDescent="0.25">
      <c r="A18" t="s">
        <v>23</v>
      </c>
      <c r="B18" t="s">
        <v>62</v>
      </c>
      <c r="C18" s="70" t="s">
        <v>14</v>
      </c>
      <c r="D18" s="70"/>
      <c r="E18" s="3">
        <f t="shared" ref="E18:E25" si="1">E17+1</f>
        <v>3</v>
      </c>
      <c r="F18" s="15">
        <f t="shared" ref="F18:F25" si="2">F17</f>
        <v>135.5</v>
      </c>
      <c r="G18" s="15">
        <v>12</v>
      </c>
      <c r="H18" s="15">
        <f t="shared" si="0"/>
        <v>123.5</v>
      </c>
      <c r="I18" s="4" t="s">
        <v>20</v>
      </c>
    </row>
    <row r="19" spans="1:9" x14ac:dyDescent="0.25">
      <c r="A19" t="s">
        <v>23</v>
      </c>
      <c r="B19" t="s">
        <v>62</v>
      </c>
      <c r="C19" s="70" t="s">
        <v>14</v>
      </c>
      <c r="D19" s="70"/>
      <c r="E19" s="3">
        <f t="shared" si="1"/>
        <v>4</v>
      </c>
      <c r="F19" s="15">
        <f t="shared" si="2"/>
        <v>135.5</v>
      </c>
      <c r="G19" s="15">
        <v>12</v>
      </c>
      <c r="H19" s="15">
        <f t="shared" si="0"/>
        <v>123.5</v>
      </c>
      <c r="I19" s="4" t="s">
        <v>20</v>
      </c>
    </row>
    <row r="20" spans="1:9" x14ac:dyDescent="0.25">
      <c r="A20" t="s">
        <v>23</v>
      </c>
      <c r="B20" t="s">
        <v>62</v>
      </c>
      <c r="C20" s="70" t="s">
        <v>14</v>
      </c>
      <c r="D20" s="70"/>
      <c r="E20" s="3">
        <f t="shared" si="1"/>
        <v>5</v>
      </c>
      <c r="F20" s="15">
        <f t="shared" si="2"/>
        <v>135.5</v>
      </c>
      <c r="G20" s="15">
        <v>13.1</v>
      </c>
      <c r="H20" s="15">
        <f t="shared" si="0"/>
        <v>122.4</v>
      </c>
      <c r="I20" s="4" t="s">
        <v>20</v>
      </c>
    </row>
    <row r="21" spans="1:9" x14ac:dyDescent="0.25">
      <c r="A21" t="s">
        <v>23</v>
      </c>
      <c r="B21" t="s">
        <v>62</v>
      </c>
      <c r="C21" s="70" t="s">
        <v>14</v>
      </c>
      <c r="D21" s="70"/>
      <c r="E21" s="3">
        <f t="shared" si="1"/>
        <v>6</v>
      </c>
      <c r="F21" s="15">
        <f t="shared" si="2"/>
        <v>135.5</v>
      </c>
      <c r="G21" s="15">
        <v>12</v>
      </c>
      <c r="H21" s="15">
        <f t="shared" si="0"/>
        <v>123.5</v>
      </c>
      <c r="I21" s="4" t="s">
        <v>20</v>
      </c>
    </row>
    <row r="22" spans="1:9" x14ac:dyDescent="0.25">
      <c r="A22" t="s">
        <v>23</v>
      </c>
      <c r="B22" t="s">
        <v>62</v>
      </c>
      <c r="C22" s="70" t="s">
        <v>14</v>
      </c>
      <c r="D22" s="70"/>
      <c r="E22" s="3">
        <f t="shared" si="1"/>
        <v>7</v>
      </c>
      <c r="F22" s="15">
        <f t="shared" si="2"/>
        <v>135.5</v>
      </c>
      <c r="G22" s="15">
        <v>12.1</v>
      </c>
      <c r="H22" s="15">
        <f t="shared" si="0"/>
        <v>123.4</v>
      </c>
      <c r="I22" s="4" t="s">
        <v>20</v>
      </c>
    </row>
    <row r="23" spans="1:9" x14ac:dyDescent="0.25">
      <c r="A23" t="s">
        <v>23</v>
      </c>
      <c r="B23" t="s">
        <v>62</v>
      </c>
      <c r="C23" s="70" t="s">
        <v>14</v>
      </c>
      <c r="D23" s="70"/>
      <c r="E23" s="3">
        <f t="shared" si="1"/>
        <v>8</v>
      </c>
      <c r="F23" s="15">
        <f t="shared" si="2"/>
        <v>135.5</v>
      </c>
      <c r="G23" s="15">
        <v>12.1</v>
      </c>
      <c r="H23" s="15">
        <f t="shared" si="0"/>
        <v>123.4</v>
      </c>
      <c r="I23" s="4" t="s">
        <v>20</v>
      </c>
    </row>
    <row r="24" spans="1:9" x14ac:dyDescent="0.25">
      <c r="A24" t="s">
        <v>23</v>
      </c>
      <c r="B24" t="s">
        <v>62</v>
      </c>
      <c r="C24" s="70" t="s">
        <v>14</v>
      </c>
      <c r="D24" s="70"/>
      <c r="E24" s="3">
        <f t="shared" si="1"/>
        <v>9</v>
      </c>
      <c r="F24" s="15">
        <f t="shared" si="2"/>
        <v>135.5</v>
      </c>
      <c r="G24" s="15">
        <v>11</v>
      </c>
      <c r="H24" s="15">
        <f t="shared" si="0"/>
        <v>124.5</v>
      </c>
      <c r="I24" s="4" t="s">
        <v>20</v>
      </c>
    </row>
    <row r="25" spans="1:9" ht="15.75" thickBot="1" x14ac:dyDescent="0.3">
      <c r="A25" t="s">
        <v>23</v>
      </c>
      <c r="B25" t="s">
        <v>62</v>
      </c>
      <c r="C25" s="70" t="s">
        <v>14</v>
      </c>
      <c r="D25" s="70"/>
      <c r="E25" s="3">
        <f t="shared" si="1"/>
        <v>10</v>
      </c>
      <c r="F25" s="15">
        <f t="shared" si="2"/>
        <v>135.5</v>
      </c>
      <c r="G25" s="15">
        <v>12.1</v>
      </c>
      <c r="H25" s="15">
        <f t="shared" si="0"/>
        <v>123.4</v>
      </c>
      <c r="I25" s="4" t="s">
        <v>20</v>
      </c>
    </row>
    <row r="26" spans="1:9" ht="16.5" thickTop="1" thickBot="1" x14ac:dyDescent="0.3">
      <c r="A26" s="75" t="s">
        <v>27</v>
      </c>
      <c r="B26" s="75"/>
      <c r="C26" s="75"/>
      <c r="D26" s="75"/>
      <c r="E26" s="12">
        <f>E25</f>
        <v>10</v>
      </c>
      <c r="F26" s="14">
        <f>SUM(F16:F25)</f>
        <v>1355</v>
      </c>
      <c r="G26" s="14">
        <f>SUM(G16:G25)</f>
        <v>120.49999999999999</v>
      </c>
      <c r="H26" s="14">
        <f>SUM(H16:H25)</f>
        <v>1234.5</v>
      </c>
      <c r="I26" s="13"/>
    </row>
    <row r="27" spans="1:9" ht="6.75" customHeight="1" thickTop="1" x14ac:dyDescent="0.25"/>
    <row r="28" spans="1:9" ht="15.75" thickBot="1" x14ac:dyDescent="0.3">
      <c r="A28" s="1" t="s">
        <v>29</v>
      </c>
    </row>
    <row r="29" spans="1:9" ht="30" customHeight="1" thickTop="1" thickBot="1" x14ac:dyDescent="0.3">
      <c r="A29" s="9" t="s">
        <v>7</v>
      </c>
      <c r="B29" s="9" t="s">
        <v>2</v>
      </c>
      <c r="C29" s="73" t="s">
        <v>6</v>
      </c>
      <c r="D29" s="73"/>
      <c r="E29" s="11" t="s">
        <v>30</v>
      </c>
      <c r="F29" s="11" t="s">
        <v>31</v>
      </c>
      <c r="G29" s="11" t="s">
        <v>32</v>
      </c>
      <c r="H29" s="11" t="s">
        <v>33</v>
      </c>
      <c r="I29" s="11" t="s">
        <v>37</v>
      </c>
    </row>
    <row r="30" spans="1:9" ht="16.5" thickTop="1" thickBot="1" x14ac:dyDescent="0.3">
      <c r="A30" t="s">
        <v>23</v>
      </c>
      <c r="B30" t="str">
        <f>B23</f>
        <v>TEMANGGUNG</v>
      </c>
      <c r="C30" s="76" t="str">
        <f>C23</f>
        <v>C48</v>
      </c>
      <c r="D30" s="76"/>
      <c r="E30" s="15">
        <v>752.3</v>
      </c>
      <c r="F30" s="15">
        <v>444.2</v>
      </c>
      <c r="G30" s="15">
        <v>17.600000000000001</v>
      </c>
      <c r="H30" s="15">
        <f>IF(E30="","",(H26-E30-F30-G30))</f>
        <v>20.400000000000055</v>
      </c>
      <c r="I30" s="15">
        <f>IF(E30="","",SUM(E30:H30))</f>
        <v>1234.5</v>
      </c>
    </row>
    <row r="31" spans="1:9" ht="16.5" thickTop="1" thickBot="1" x14ac:dyDescent="0.3">
      <c r="A31" s="77" t="s">
        <v>52</v>
      </c>
      <c r="B31" s="77"/>
      <c r="C31" s="77"/>
      <c r="D31" s="77"/>
      <c r="E31" s="20">
        <f>IF(E30="","",E30/$H26)</f>
        <v>0.60939651680842444</v>
      </c>
      <c r="F31" s="32">
        <f>IF(F30="","",F30/$H26)</f>
        <v>0.35982179019846089</v>
      </c>
      <c r="G31" s="32">
        <f t="shared" ref="G31:H31" si="3">IF(G30="","",G30/$H26)</f>
        <v>1.4256784123126772E-2</v>
      </c>
      <c r="H31" s="32">
        <f t="shared" si="3"/>
        <v>1.6524908869987896E-2</v>
      </c>
      <c r="I31" s="17">
        <f>IF(I30="","",SUM(E31:H31))</f>
        <v>1</v>
      </c>
    </row>
    <row r="32" spans="1:9" ht="15.75" thickTop="1" x14ac:dyDescent="0.25">
      <c r="A32" s="19" t="s">
        <v>16</v>
      </c>
    </row>
    <row r="33" spans="1:1" ht="10.5" customHeight="1" x14ac:dyDescent="0.25">
      <c r="A33" s="7" t="s">
        <v>48</v>
      </c>
    </row>
    <row r="34" spans="1:1" ht="10.5" customHeight="1" x14ac:dyDescent="0.25">
      <c r="A34" s="7" t="s">
        <v>35</v>
      </c>
    </row>
    <row r="35" spans="1:1" ht="10.5" customHeight="1" x14ac:dyDescent="0.25">
      <c r="A35" s="7" t="s">
        <v>34</v>
      </c>
    </row>
    <row r="36" spans="1:1" ht="10.5" customHeight="1" x14ac:dyDescent="0.25">
      <c r="A36" s="7" t="s">
        <v>50</v>
      </c>
    </row>
    <row r="37" spans="1:1" ht="6" customHeight="1" x14ac:dyDescent="0.25"/>
  </sheetData>
  <mergeCells count="17">
    <mergeCell ref="A31:D31"/>
    <mergeCell ref="C19:D19"/>
    <mergeCell ref="C20:D20"/>
    <mergeCell ref="C21:D21"/>
    <mergeCell ref="C22:D22"/>
    <mergeCell ref="C23:D23"/>
    <mergeCell ref="C24:D24"/>
    <mergeCell ref="C25:D25"/>
    <mergeCell ref="A26:D26"/>
    <mergeCell ref="C29:D29"/>
    <mergeCell ref="C30:D30"/>
    <mergeCell ref="C18:D18"/>
    <mergeCell ref="A1:I1"/>
    <mergeCell ref="A13:I13"/>
    <mergeCell ref="C15:D15"/>
    <mergeCell ref="C16:D16"/>
    <mergeCell ref="C17:D17"/>
  </mergeCells>
  <pageMargins left="0" right="0" top="0" bottom="0" header="0" footer="0"/>
  <pageSetup paperSize="20000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636-8CC1-4E29-B3D3-D93118C14E22}">
  <sheetPr>
    <tabColor rgb="FF00B050"/>
  </sheetPr>
  <dimension ref="A1:L68"/>
  <sheetViews>
    <sheetView showGridLines="0" workbookViewId="0">
      <selection activeCell="H61" sqref="H61"/>
    </sheetView>
  </sheetViews>
  <sheetFormatPr defaultRowHeight="15" x14ac:dyDescent="0.25"/>
  <cols>
    <col min="1" max="1" width="11.42578125" customWidth="1"/>
    <col min="2" max="2" width="12" customWidth="1"/>
    <col min="3" max="3" width="9.7109375" customWidth="1"/>
    <col min="4" max="4" width="10.5703125" bestFit="1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5.42578125" bestFit="1" customWidth="1"/>
    <col min="11" max="11" width="9.5703125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46216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166</v>
      </c>
      <c r="C7" s="4">
        <v>40</v>
      </c>
      <c r="D7" s="4" t="s">
        <v>22</v>
      </c>
      <c r="E7" s="15">
        <v>2010.7</v>
      </c>
      <c r="F7" s="15">
        <f>G57</f>
        <v>45.70000000000001</v>
      </c>
      <c r="G7" s="15">
        <f>E7-F7</f>
        <v>1965</v>
      </c>
      <c r="H7" s="6">
        <v>46212</v>
      </c>
      <c r="I7" s="53" t="s">
        <v>165</v>
      </c>
      <c r="K7" s="27">
        <f>E7/11</f>
        <v>182.79090909090908</v>
      </c>
    </row>
    <row r="8" spans="1:12" ht="4.5" customHeight="1" x14ac:dyDescent="0.25"/>
    <row r="9" spans="1:12" x14ac:dyDescent="0.25">
      <c r="A9" s="19" t="s">
        <v>16</v>
      </c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167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166</v>
      </c>
      <c r="C16" s="74" t="s">
        <v>22</v>
      </c>
      <c r="D16" s="74"/>
      <c r="E16" s="3">
        <v>1</v>
      </c>
      <c r="F16" s="15">
        <v>49.2</v>
      </c>
      <c r="G16" s="15">
        <v>1</v>
      </c>
      <c r="H16" s="15">
        <f>F16-G16</f>
        <v>48.2</v>
      </c>
      <c r="I16" s="4" t="s">
        <v>20</v>
      </c>
    </row>
    <row r="17" spans="1:9" x14ac:dyDescent="0.25">
      <c r="A17" t="s">
        <v>23</v>
      </c>
      <c r="B17" t="s">
        <v>166</v>
      </c>
      <c r="C17" s="70" t="s">
        <v>22</v>
      </c>
      <c r="D17" s="70"/>
      <c r="E17" s="3">
        <f>E16+1</f>
        <v>2</v>
      </c>
      <c r="F17" s="15">
        <v>53.6</v>
      </c>
      <c r="G17" s="15">
        <v>1</v>
      </c>
      <c r="H17" s="15">
        <f t="shared" ref="H17:H56" si="0">F17-G17</f>
        <v>52.6</v>
      </c>
      <c r="I17" s="4" t="s">
        <v>20</v>
      </c>
    </row>
    <row r="18" spans="1:9" x14ac:dyDescent="0.25">
      <c r="A18" t="s">
        <v>23</v>
      </c>
      <c r="B18" t="s">
        <v>166</v>
      </c>
      <c r="C18" s="70" t="s">
        <v>22</v>
      </c>
      <c r="D18" s="70"/>
      <c r="E18" s="3">
        <f t="shared" ref="E18:E56" si="1">E17+1</f>
        <v>3</v>
      </c>
      <c r="F18" s="15">
        <v>55.1</v>
      </c>
      <c r="G18" s="15">
        <v>1.1000000000000001</v>
      </c>
      <c r="H18" s="15">
        <f t="shared" si="0"/>
        <v>54</v>
      </c>
      <c r="I18" s="4" t="s">
        <v>20</v>
      </c>
    </row>
    <row r="19" spans="1:9" x14ac:dyDescent="0.25">
      <c r="A19" t="s">
        <v>23</v>
      </c>
      <c r="B19" t="s">
        <v>166</v>
      </c>
      <c r="C19" s="70" t="s">
        <v>22</v>
      </c>
      <c r="D19" s="70"/>
      <c r="E19" s="3">
        <f t="shared" si="1"/>
        <v>4</v>
      </c>
      <c r="F19" s="15">
        <v>50.1</v>
      </c>
      <c r="G19" s="15">
        <v>1.5</v>
      </c>
      <c r="H19" s="15">
        <f t="shared" si="0"/>
        <v>48.6</v>
      </c>
      <c r="I19" s="4" t="s">
        <v>20</v>
      </c>
    </row>
    <row r="20" spans="1:9" x14ac:dyDescent="0.25">
      <c r="A20" t="s">
        <v>23</v>
      </c>
      <c r="B20" t="s">
        <v>166</v>
      </c>
      <c r="C20" s="70" t="s">
        <v>22</v>
      </c>
      <c r="D20" s="70"/>
      <c r="E20" s="3">
        <f t="shared" si="1"/>
        <v>5</v>
      </c>
      <c r="F20" s="15">
        <v>50.3</v>
      </c>
      <c r="G20" s="15">
        <v>1</v>
      </c>
      <c r="H20" s="15">
        <f t="shared" si="0"/>
        <v>49.3</v>
      </c>
      <c r="I20" s="4" t="s">
        <v>20</v>
      </c>
    </row>
    <row r="21" spans="1:9" x14ac:dyDescent="0.25">
      <c r="A21" t="s">
        <v>23</v>
      </c>
      <c r="B21" t="s">
        <v>166</v>
      </c>
      <c r="C21" s="70" t="s">
        <v>22</v>
      </c>
      <c r="D21" s="70"/>
      <c r="E21" s="3">
        <f t="shared" si="1"/>
        <v>6</v>
      </c>
      <c r="F21" s="15">
        <v>53.9</v>
      </c>
      <c r="G21" s="15">
        <v>1</v>
      </c>
      <c r="H21" s="15">
        <f t="shared" si="0"/>
        <v>52.9</v>
      </c>
      <c r="I21" s="4" t="s">
        <v>20</v>
      </c>
    </row>
    <row r="22" spans="1:9" x14ac:dyDescent="0.25">
      <c r="A22" t="s">
        <v>23</v>
      </c>
      <c r="B22" t="s">
        <v>166</v>
      </c>
      <c r="C22" s="70" t="s">
        <v>22</v>
      </c>
      <c r="D22" s="70"/>
      <c r="E22" s="3">
        <f t="shared" si="1"/>
        <v>7</v>
      </c>
      <c r="F22" s="15">
        <v>50.3</v>
      </c>
      <c r="G22" s="15">
        <v>1.2</v>
      </c>
      <c r="H22" s="15">
        <f t="shared" si="0"/>
        <v>49.099999999999994</v>
      </c>
      <c r="I22" s="4" t="s">
        <v>20</v>
      </c>
    </row>
    <row r="23" spans="1:9" x14ac:dyDescent="0.25">
      <c r="A23" t="s">
        <v>23</v>
      </c>
      <c r="B23" t="s">
        <v>166</v>
      </c>
      <c r="C23" s="70" t="s">
        <v>22</v>
      </c>
      <c r="D23" s="70"/>
      <c r="E23" s="3">
        <f t="shared" si="1"/>
        <v>8</v>
      </c>
      <c r="F23" s="15">
        <v>53.7</v>
      </c>
      <c r="G23" s="15">
        <v>1.3</v>
      </c>
      <c r="H23" s="15">
        <f t="shared" si="0"/>
        <v>52.400000000000006</v>
      </c>
      <c r="I23" s="4" t="s">
        <v>20</v>
      </c>
    </row>
    <row r="24" spans="1:9" x14ac:dyDescent="0.25">
      <c r="A24" t="s">
        <v>23</v>
      </c>
      <c r="B24" t="s">
        <v>166</v>
      </c>
      <c r="C24" s="70" t="s">
        <v>22</v>
      </c>
      <c r="D24" s="70"/>
      <c r="E24" s="3">
        <f t="shared" si="1"/>
        <v>9</v>
      </c>
      <c r="F24" s="15">
        <v>50.9</v>
      </c>
      <c r="G24" s="15">
        <v>1</v>
      </c>
      <c r="H24" s="15">
        <f t="shared" si="0"/>
        <v>49.9</v>
      </c>
      <c r="I24" s="4" t="s">
        <v>20</v>
      </c>
    </row>
    <row r="25" spans="1:9" x14ac:dyDescent="0.25">
      <c r="A25" t="s">
        <v>23</v>
      </c>
      <c r="B25" t="s">
        <v>166</v>
      </c>
      <c r="C25" s="70" t="s">
        <v>22</v>
      </c>
      <c r="D25" s="70"/>
      <c r="E25" s="3">
        <f t="shared" si="1"/>
        <v>10</v>
      </c>
      <c r="F25" s="15">
        <v>49.3</v>
      </c>
      <c r="G25" s="15">
        <v>1.2</v>
      </c>
      <c r="H25" s="15">
        <f t="shared" si="0"/>
        <v>48.099999999999994</v>
      </c>
      <c r="I25" s="4" t="s">
        <v>20</v>
      </c>
    </row>
    <row r="26" spans="1:9" x14ac:dyDescent="0.25">
      <c r="A26" t="s">
        <v>23</v>
      </c>
      <c r="B26" t="s">
        <v>166</v>
      </c>
      <c r="C26" s="70" t="s">
        <v>22</v>
      </c>
      <c r="D26" s="70"/>
      <c r="E26" s="3">
        <f t="shared" si="1"/>
        <v>11</v>
      </c>
      <c r="F26" s="15">
        <v>52.2</v>
      </c>
      <c r="G26" s="15">
        <v>1</v>
      </c>
      <c r="H26" s="15">
        <f t="shared" si="0"/>
        <v>51.2</v>
      </c>
      <c r="I26" s="4" t="s">
        <v>20</v>
      </c>
    </row>
    <row r="27" spans="1:9" x14ac:dyDescent="0.25">
      <c r="A27" t="s">
        <v>23</v>
      </c>
      <c r="B27" t="s">
        <v>166</v>
      </c>
      <c r="C27" s="70" t="s">
        <v>22</v>
      </c>
      <c r="D27" s="70"/>
      <c r="E27" s="3">
        <f t="shared" si="1"/>
        <v>12</v>
      </c>
      <c r="F27" s="15">
        <v>48.2</v>
      </c>
      <c r="G27" s="15">
        <v>1.5</v>
      </c>
      <c r="H27" s="15">
        <f t="shared" si="0"/>
        <v>46.7</v>
      </c>
      <c r="I27" s="4" t="s">
        <v>20</v>
      </c>
    </row>
    <row r="28" spans="1:9" x14ac:dyDescent="0.25">
      <c r="A28" t="s">
        <v>23</v>
      </c>
      <c r="B28" t="s">
        <v>166</v>
      </c>
      <c r="C28" s="70" t="s">
        <v>22</v>
      </c>
      <c r="D28" s="70"/>
      <c r="E28" s="3">
        <f t="shared" si="1"/>
        <v>13</v>
      </c>
      <c r="F28" s="15">
        <v>51.3</v>
      </c>
      <c r="G28" s="15">
        <v>1.2</v>
      </c>
      <c r="H28" s="15">
        <f t="shared" si="0"/>
        <v>50.099999999999994</v>
      </c>
      <c r="I28" s="4" t="s">
        <v>20</v>
      </c>
    </row>
    <row r="29" spans="1:9" x14ac:dyDescent="0.25">
      <c r="A29" t="s">
        <v>23</v>
      </c>
      <c r="B29" t="s">
        <v>166</v>
      </c>
      <c r="C29" s="70" t="s">
        <v>22</v>
      </c>
      <c r="D29" s="70"/>
      <c r="E29" s="3">
        <f t="shared" si="1"/>
        <v>14</v>
      </c>
      <c r="F29" s="15">
        <v>50.5</v>
      </c>
      <c r="G29" s="15">
        <v>1.2</v>
      </c>
      <c r="H29" s="15">
        <f t="shared" si="0"/>
        <v>49.3</v>
      </c>
      <c r="I29" s="4" t="s">
        <v>20</v>
      </c>
    </row>
    <row r="30" spans="1:9" x14ac:dyDescent="0.25">
      <c r="A30" t="s">
        <v>23</v>
      </c>
      <c r="B30" t="s">
        <v>166</v>
      </c>
      <c r="C30" s="70" t="s">
        <v>22</v>
      </c>
      <c r="D30" s="70"/>
      <c r="E30" s="3">
        <f t="shared" si="1"/>
        <v>15</v>
      </c>
      <c r="F30" s="15">
        <v>50.4</v>
      </c>
      <c r="G30" s="15">
        <v>1.1000000000000001</v>
      </c>
      <c r="H30" s="15">
        <f t="shared" si="0"/>
        <v>49.3</v>
      </c>
      <c r="I30" s="4" t="s">
        <v>20</v>
      </c>
    </row>
    <row r="31" spans="1:9" x14ac:dyDescent="0.25">
      <c r="A31" t="s">
        <v>23</v>
      </c>
      <c r="B31" t="s">
        <v>166</v>
      </c>
      <c r="C31" s="70" t="s">
        <v>22</v>
      </c>
      <c r="D31" s="70"/>
      <c r="E31" s="3">
        <f t="shared" si="1"/>
        <v>16</v>
      </c>
      <c r="F31" s="15">
        <v>48</v>
      </c>
      <c r="G31" s="15">
        <v>1</v>
      </c>
      <c r="H31" s="15">
        <f t="shared" si="0"/>
        <v>47</v>
      </c>
      <c r="I31" s="4" t="s">
        <v>20</v>
      </c>
    </row>
    <row r="32" spans="1:9" x14ac:dyDescent="0.25">
      <c r="A32" t="s">
        <v>23</v>
      </c>
      <c r="B32" t="s">
        <v>166</v>
      </c>
      <c r="C32" s="70" t="s">
        <v>22</v>
      </c>
      <c r="D32" s="70"/>
      <c r="E32" s="3">
        <f t="shared" si="1"/>
        <v>17</v>
      </c>
      <c r="F32" s="15">
        <v>46</v>
      </c>
      <c r="G32" s="15">
        <v>1.1000000000000001</v>
      </c>
      <c r="H32" s="15">
        <f t="shared" si="0"/>
        <v>44.9</v>
      </c>
      <c r="I32" s="4" t="s">
        <v>20</v>
      </c>
    </row>
    <row r="33" spans="1:9" x14ac:dyDescent="0.25">
      <c r="A33" t="s">
        <v>23</v>
      </c>
      <c r="B33" t="s">
        <v>166</v>
      </c>
      <c r="C33" s="70" t="s">
        <v>22</v>
      </c>
      <c r="D33" s="70"/>
      <c r="E33" s="3">
        <f t="shared" si="1"/>
        <v>18</v>
      </c>
      <c r="F33" s="15">
        <v>52.6</v>
      </c>
      <c r="G33" s="15">
        <v>1.3</v>
      </c>
      <c r="H33" s="15">
        <f>F33-G33</f>
        <v>51.300000000000004</v>
      </c>
      <c r="I33" s="4" t="s">
        <v>20</v>
      </c>
    </row>
    <row r="34" spans="1:9" x14ac:dyDescent="0.25">
      <c r="A34" t="s">
        <v>23</v>
      </c>
      <c r="B34" t="s">
        <v>166</v>
      </c>
      <c r="C34" s="70" t="s">
        <v>22</v>
      </c>
      <c r="D34" s="70"/>
      <c r="E34" s="3">
        <f t="shared" si="1"/>
        <v>19</v>
      </c>
      <c r="F34" s="15">
        <v>47.1</v>
      </c>
      <c r="G34" s="15">
        <v>1</v>
      </c>
      <c r="H34" s="15">
        <f t="shared" si="0"/>
        <v>46.1</v>
      </c>
      <c r="I34" s="4" t="s">
        <v>20</v>
      </c>
    </row>
    <row r="35" spans="1:9" x14ac:dyDescent="0.25">
      <c r="A35" t="s">
        <v>23</v>
      </c>
      <c r="B35" t="s">
        <v>166</v>
      </c>
      <c r="C35" s="70" t="s">
        <v>22</v>
      </c>
      <c r="D35" s="70"/>
      <c r="E35" s="3">
        <f t="shared" si="1"/>
        <v>20</v>
      </c>
      <c r="F35" s="15">
        <v>42.8</v>
      </c>
      <c r="G35" s="15">
        <v>1.3</v>
      </c>
      <c r="H35" s="15">
        <f t="shared" si="0"/>
        <v>41.5</v>
      </c>
      <c r="I35" s="4" t="s">
        <v>20</v>
      </c>
    </row>
    <row r="36" spans="1:9" x14ac:dyDescent="0.25">
      <c r="A36" t="s">
        <v>23</v>
      </c>
      <c r="B36" t="s">
        <v>166</v>
      </c>
      <c r="C36" s="70" t="s">
        <v>22</v>
      </c>
      <c r="D36" s="70"/>
      <c r="E36" s="3">
        <f t="shared" si="1"/>
        <v>21</v>
      </c>
      <c r="F36" s="15">
        <v>47.6</v>
      </c>
      <c r="G36" s="15">
        <v>1</v>
      </c>
      <c r="H36" s="15">
        <f t="shared" si="0"/>
        <v>46.6</v>
      </c>
      <c r="I36" s="4" t="s">
        <v>20</v>
      </c>
    </row>
    <row r="37" spans="1:9" x14ac:dyDescent="0.25">
      <c r="A37" t="s">
        <v>23</v>
      </c>
      <c r="B37" t="s">
        <v>166</v>
      </c>
      <c r="C37" s="70" t="s">
        <v>22</v>
      </c>
      <c r="D37" s="70"/>
      <c r="E37" s="3">
        <f t="shared" si="1"/>
        <v>22</v>
      </c>
      <c r="F37" s="15">
        <v>47.6</v>
      </c>
      <c r="G37" s="15">
        <v>1.4</v>
      </c>
      <c r="H37" s="15">
        <f t="shared" si="0"/>
        <v>46.2</v>
      </c>
      <c r="I37" s="4" t="s">
        <v>20</v>
      </c>
    </row>
    <row r="38" spans="1:9" x14ac:dyDescent="0.25">
      <c r="A38" t="s">
        <v>23</v>
      </c>
      <c r="B38" t="s">
        <v>166</v>
      </c>
      <c r="C38" s="70" t="s">
        <v>22</v>
      </c>
      <c r="D38" s="70"/>
      <c r="E38" s="3">
        <f t="shared" si="1"/>
        <v>23</v>
      </c>
      <c r="F38" s="15">
        <v>49.3</v>
      </c>
      <c r="G38" s="15">
        <v>1.2</v>
      </c>
      <c r="H38" s="15">
        <f t="shared" si="0"/>
        <v>48.099999999999994</v>
      </c>
      <c r="I38" s="4" t="s">
        <v>20</v>
      </c>
    </row>
    <row r="39" spans="1:9" x14ac:dyDescent="0.25">
      <c r="A39" t="s">
        <v>23</v>
      </c>
      <c r="B39" t="s">
        <v>166</v>
      </c>
      <c r="C39" s="70" t="s">
        <v>22</v>
      </c>
      <c r="D39" s="70"/>
      <c r="E39" s="3">
        <f t="shared" si="1"/>
        <v>24</v>
      </c>
      <c r="F39" s="15">
        <v>50.1</v>
      </c>
      <c r="G39" s="15">
        <v>1</v>
      </c>
      <c r="H39" s="15">
        <f t="shared" si="0"/>
        <v>49.1</v>
      </c>
      <c r="I39" s="4" t="s">
        <v>20</v>
      </c>
    </row>
    <row r="40" spans="1:9" x14ac:dyDescent="0.25">
      <c r="A40" t="s">
        <v>23</v>
      </c>
      <c r="B40" t="s">
        <v>166</v>
      </c>
      <c r="C40" s="70" t="s">
        <v>22</v>
      </c>
      <c r="D40" s="70"/>
      <c r="E40" s="3">
        <f t="shared" si="1"/>
        <v>25</v>
      </c>
      <c r="F40" s="15">
        <v>52.7</v>
      </c>
      <c r="G40" s="15">
        <v>1</v>
      </c>
      <c r="H40" s="15">
        <f t="shared" si="0"/>
        <v>51.7</v>
      </c>
      <c r="I40" s="4" t="s">
        <v>20</v>
      </c>
    </row>
    <row r="41" spans="1:9" x14ac:dyDescent="0.25">
      <c r="A41" t="s">
        <v>23</v>
      </c>
      <c r="B41" t="s">
        <v>166</v>
      </c>
      <c r="C41" s="70" t="s">
        <v>22</v>
      </c>
      <c r="D41" s="70"/>
      <c r="E41" s="3">
        <f t="shared" si="1"/>
        <v>26</v>
      </c>
      <c r="F41" s="15">
        <v>52</v>
      </c>
      <c r="G41" s="15">
        <v>1.1000000000000001</v>
      </c>
      <c r="H41" s="15">
        <f t="shared" si="0"/>
        <v>50.9</v>
      </c>
      <c r="I41" s="4" t="s">
        <v>20</v>
      </c>
    </row>
    <row r="42" spans="1:9" x14ac:dyDescent="0.25">
      <c r="A42" t="s">
        <v>23</v>
      </c>
      <c r="B42" t="s">
        <v>166</v>
      </c>
      <c r="C42" s="70" t="s">
        <v>22</v>
      </c>
      <c r="D42" s="70"/>
      <c r="E42" s="3">
        <f t="shared" si="1"/>
        <v>27</v>
      </c>
      <c r="F42" s="15">
        <v>54.7</v>
      </c>
      <c r="G42" s="15">
        <v>1</v>
      </c>
      <c r="H42" s="15">
        <f t="shared" si="0"/>
        <v>53.7</v>
      </c>
      <c r="I42" s="4" t="s">
        <v>20</v>
      </c>
    </row>
    <row r="43" spans="1:9" x14ac:dyDescent="0.25">
      <c r="A43" t="s">
        <v>23</v>
      </c>
      <c r="B43" t="s">
        <v>166</v>
      </c>
      <c r="C43" s="70" t="s">
        <v>22</v>
      </c>
      <c r="D43" s="70"/>
      <c r="E43" s="3">
        <f t="shared" si="1"/>
        <v>28</v>
      </c>
      <c r="F43" s="15">
        <v>46.8</v>
      </c>
      <c r="G43" s="15">
        <v>1</v>
      </c>
      <c r="H43" s="15">
        <f>F43-G43</f>
        <v>45.8</v>
      </c>
      <c r="I43" s="4" t="s">
        <v>20</v>
      </c>
    </row>
    <row r="44" spans="1:9" x14ac:dyDescent="0.25">
      <c r="A44" t="s">
        <v>23</v>
      </c>
      <c r="B44" t="s">
        <v>166</v>
      </c>
      <c r="C44" s="70" t="s">
        <v>22</v>
      </c>
      <c r="D44" s="70"/>
      <c r="E44" s="3">
        <f t="shared" si="1"/>
        <v>29</v>
      </c>
      <c r="F44" s="15">
        <v>48</v>
      </c>
      <c r="G44" s="15">
        <v>1.4</v>
      </c>
      <c r="H44" s="15">
        <f t="shared" si="0"/>
        <v>46.6</v>
      </c>
      <c r="I44" s="4" t="s">
        <v>20</v>
      </c>
    </row>
    <row r="45" spans="1:9" x14ac:dyDescent="0.25">
      <c r="A45" t="s">
        <v>23</v>
      </c>
      <c r="B45" t="s">
        <v>166</v>
      </c>
      <c r="C45" s="70" t="s">
        <v>22</v>
      </c>
      <c r="D45" s="70"/>
      <c r="E45" s="3">
        <f t="shared" si="1"/>
        <v>30</v>
      </c>
      <c r="F45" s="15">
        <v>48.2</v>
      </c>
      <c r="G45" s="15">
        <v>1</v>
      </c>
      <c r="H45" s="15">
        <f t="shared" si="0"/>
        <v>47.2</v>
      </c>
      <c r="I45" s="4" t="s">
        <v>20</v>
      </c>
    </row>
    <row r="46" spans="1:9" x14ac:dyDescent="0.25">
      <c r="A46" t="s">
        <v>23</v>
      </c>
      <c r="B46" t="s">
        <v>166</v>
      </c>
      <c r="C46" s="70" t="s">
        <v>22</v>
      </c>
      <c r="D46" s="70"/>
      <c r="E46" s="3">
        <f t="shared" si="1"/>
        <v>31</v>
      </c>
      <c r="F46" s="15">
        <v>49.1</v>
      </c>
      <c r="G46" s="15">
        <v>1.1000000000000001</v>
      </c>
      <c r="H46" s="15">
        <f t="shared" si="0"/>
        <v>48</v>
      </c>
      <c r="I46" s="4" t="s">
        <v>20</v>
      </c>
    </row>
    <row r="47" spans="1:9" x14ac:dyDescent="0.25">
      <c r="A47" t="s">
        <v>23</v>
      </c>
      <c r="B47" t="s">
        <v>166</v>
      </c>
      <c r="C47" s="70" t="s">
        <v>22</v>
      </c>
      <c r="D47" s="70"/>
      <c r="E47" s="3">
        <f t="shared" si="1"/>
        <v>32</v>
      </c>
      <c r="F47" s="15">
        <v>49.7</v>
      </c>
      <c r="G47" s="15">
        <v>1.2</v>
      </c>
      <c r="H47" s="15">
        <f t="shared" si="0"/>
        <v>48.5</v>
      </c>
      <c r="I47" s="4" t="s">
        <v>20</v>
      </c>
    </row>
    <row r="48" spans="1:9" x14ac:dyDescent="0.25">
      <c r="A48" t="s">
        <v>23</v>
      </c>
      <c r="B48" t="s">
        <v>166</v>
      </c>
      <c r="C48" s="70" t="s">
        <v>22</v>
      </c>
      <c r="D48" s="70"/>
      <c r="E48" s="3">
        <f t="shared" si="1"/>
        <v>33</v>
      </c>
      <c r="F48" s="15">
        <v>53.5</v>
      </c>
      <c r="G48" s="15">
        <v>1.3</v>
      </c>
      <c r="H48" s="15">
        <f t="shared" si="0"/>
        <v>52.2</v>
      </c>
      <c r="I48" s="4" t="s">
        <v>20</v>
      </c>
    </row>
    <row r="49" spans="1:12" x14ac:dyDescent="0.25">
      <c r="A49" t="s">
        <v>23</v>
      </c>
      <c r="B49" t="s">
        <v>166</v>
      </c>
      <c r="C49" s="70" t="s">
        <v>22</v>
      </c>
      <c r="D49" s="70"/>
      <c r="E49" s="3">
        <f t="shared" si="1"/>
        <v>34</v>
      </c>
      <c r="F49" s="15">
        <v>49.8</v>
      </c>
      <c r="G49" s="15">
        <v>1.3</v>
      </c>
      <c r="H49" s="15">
        <f t="shared" si="0"/>
        <v>48.5</v>
      </c>
      <c r="I49" s="4" t="s">
        <v>20</v>
      </c>
    </row>
    <row r="50" spans="1:12" x14ac:dyDescent="0.25">
      <c r="A50" t="s">
        <v>23</v>
      </c>
      <c r="B50" t="s">
        <v>166</v>
      </c>
      <c r="C50" s="70" t="s">
        <v>22</v>
      </c>
      <c r="D50" s="70"/>
      <c r="E50" s="3">
        <f t="shared" si="1"/>
        <v>35</v>
      </c>
      <c r="F50" s="15">
        <v>50.7</v>
      </c>
      <c r="G50" s="15">
        <v>1.1000000000000001</v>
      </c>
      <c r="H50" s="15">
        <f t="shared" si="0"/>
        <v>49.6</v>
      </c>
      <c r="I50" s="4" t="s">
        <v>20</v>
      </c>
    </row>
    <row r="51" spans="1:12" x14ac:dyDescent="0.25">
      <c r="A51" t="s">
        <v>23</v>
      </c>
      <c r="B51" t="s">
        <v>166</v>
      </c>
      <c r="C51" s="70" t="s">
        <v>22</v>
      </c>
      <c r="D51" s="70"/>
      <c r="E51" s="3">
        <f t="shared" si="1"/>
        <v>36</v>
      </c>
      <c r="F51" s="15">
        <v>53.2</v>
      </c>
      <c r="G51" s="15">
        <v>1.2</v>
      </c>
      <c r="H51" s="15">
        <f t="shared" si="0"/>
        <v>52</v>
      </c>
      <c r="I51" s="4" t="s">
        <v>20</v>
      </c>
    </row>
    <row r="52" spans="1:12" x14ac:dyDescent="0.25">
      <c r="A52" t="s">
        <v>23</v>
      </c>
      <c r="B52" t="s">
        <v>166</v>
      </c>
      <c r="C52" s="70" t="s">
        <v>22</v>
      </c>
      <c r="D52" s="70"/>
      <c r="E52" s="3">
        <f t="shared" si="1"/>
        <v>37</v>
      </c>
      <c r="F52" s="15">
        <v>48.1</v>
      </c>
      <c r="G52" s="15">
        <v>1</v>
      </c>
      <c r="H52" s="15">
        <f>F52-G52</f>
        <v>47.1</v>
      </c>
      <c r="I52" s="4" t="s">
        <v>20</v>
      </c>
    </row>
    <row r="53" spans="1:12" x14ac:dyDescent="0.25">
      <c r="A53" t="s">
        <v>23</v>
      </c>
      <c r="B53" t="s">
        <v>166</v>
      </c>
      <c r="C53" s="70" t="s">
        <v>22</v>
      </c>
      <c r="D53" s="70"/>
      <c r="E53" s="3">
        <f t="shared" si="1"/>
        <v>38</v>
      </c>
      <c r="F53" s="15">
        <v>50.6</v>
      </c>
      <c r="G53" s="15">
        <v>1</v>
      </c>
      <c r="H53" s="15">
        <f t="shared" si="0"/>
        <v>49.6</v>
      </c>
      <c r="I53" s="4" t="s">
        <v>20</v>
      </c>
    </row>
    <row r="54" spans="1:12" x14ac:dyDescent="0.25">
      <c r="A54" t="s">
        <v>23</v>
      </c>
      <c r="B54" t="s">
        <v>166</v>
      </c>
      <c r="C54" s="70" t="s">
        <v>22</v>
      </c>
      <c r="D54" s="70"/>
      <c r="E54" s="3">
        <f t="shared" si="1"/>
        <v>39</v>
      </c>
      <c r="F54" s="15">
        <v>51.6</v>
      </c>
      <c r="G54" s="15">
        <v>1.2</v>
      </c>
      <c r="H54" s="15">
        <f t="shared" si="0"/>
        <v>50.4</v>
      </c>
      <c r="I54" s="4" t="s">
        <v>20</v>
      </c>
    </row>
    <row r="55" spans="1:12" x14ac:dyDescent="0.25">
      <c r="A55" t="s">
        <v>23</v>
      </c>
      <c r="B55" t="s">
        <v>166</v>
      </c>
      <c r="C55" s="70" t="s">
        <v>22</v>
      </c>
      <c r="D55" s="70"/>
      <c r="E55" s="3">
        <f t="shared" si="1"/>
        <v>40</v>
      </c>
      <c r="F55" s="15">
        <v>46.4</v>
      </c>
      <c r="G55" s="15">
        <v>1</v>
      </c>
      <c r="H55" s="15">
        <f t="shared" ref="H55" si="2">F55-G55</f>
        <v>45.4</v>
      </c>
      <c r="I55" s="4" t="s">
        <v>20</v>
      </c>
    </row>
    <row r="56" spans="1:12" ht="15.75" thickBot="1" x14ac:dyDescent="0.3">
      <c r="A56" t="s">
        <v>23</v>
      </c>
      <c r="B56" t="s">
        <v>166</v>
      </c>
      <c r="C56" s="70" t="s">
        <v>22</v>
      </c>
      <c r="D56" s="70"/>
      <c r="E56" s="3">
        <f t="shared" si="1"/>
        <v>41</v>
      </c>
      <c r="F56" s="15">
        <v>11.1</v>
      </c>
      <c r="G56" s="15">
        <v>0.2</v>
      </c>
      <c r="H56" s="15">
        <f t="shared" si="0"/>
        <v>10.9</v>
      </c>
      <c r="I56" s="4" t="s">
        <v>42</v>
      </c>
    </row>
    <row r="57" spans="1:12" ht="16.5" thickTop="1" thickBot="1" x14ac:dyDescent="0.3">
      <c r="A57" s="75" t="s">
        <v>27</v>
      </c>
      <c r="B57" s="75"/>
      <c r="C57" s="75"/>
      <c r="D57" s="75"/>
      <c r="E57" s="12">
        <f>E56</f>
        <v>41</v>
      </c>
      <c r="F57" s="14">
        <f>SUM(F16:F56)</f>
        <v>2016.2999999999995</v>
      </c>
      <c r="G57" s="14">
        <f>SUM(G16:G56)</f>
        <v>45.70000000000001</v>
      </c>
      <c r="H57" s="14">
        <f>SUM(H16:H56)</f>
        <v>1970.6</v>
      </c>
      <c r="I57" s="13"/>
      <c r="K57" s="27"/>
      <c r="L57" s="56"/>
    </row>
    <row r="58" spans="1:12" ht="6.75" customHeight="1" thickTop="1" x14ac:dyDescent="0.25"/>
    <row r="59" spans="1:12" ht="15.75" thickBot="1" x14ac:dyDescent="0.3">
      <c r="A59" s="1" t="s">
        <v>29</v>
      </c>
    </row>
    <row r="60" spans="1:12" ht="30" customHeight="1" thickTop="1" thickBot="1" x14ac:dyDescent="0.3">
      <c r="A60" s="9" t="s">
        <v>7</v>
      </c>
      <c r="B60" s="9" t="s">
        <v>2</v>
      </c>
      <c r="C60" s="73" t="s">
        <v>6</v>
      </c>
      <c r="D60" s="73"/>
      <c r="E60" s="11" t="s">
        <v>30</v>
      </c>
      <c r="F60" s="11" t="s">
        <v>31</v>
      </c>
      <c r="G60" s="11" t="s">
        <v>32</v>
      </c>
      <c r="H60" s="11" t="s">
        <v>33</v>
      </c>
      <c r="I60" s="11" t="s">
        <v>37</v>
      </c>
    </row>
    <row r="61" spans="1:12" ht="16.5" thickTop="1" thickBot="1" x14ac:dyDescent="0.3">
      <c r="A61" t="s">
        <v>23</v>
      </c>
      <c r="B61" t="str">
        <f>B54</f>
        <v>LOMBOK'25</v>
      </c>
      <c r="C61" s="76" t="str">
        <f>C51</f>
        <v>Ball Goni</v>
      </c>
      <c r="D61" s="76"/>
      <c r="E61" s="15">
        <v>1642.2</v>
      </c>
      <c r="F61" s="15">
        <v>298.89999999999998</v>
      </c>
      <c r="G61" s="15">
        <v>23.2</v>
      </c>
      <c r="H61" s="15">
        <f>IF(E61="","",(H57-E61-F61-G61))</f>
        <v>6.299999999999887</v>
      </c>
      <c r="I61" s="15">
        <f>IF(E61="","",SUM(E61:H61))</f>
        <v>1970.6</v>
      </c>
    </row>
    <row r="62" spans="1:12" ht="16.5" thickTop="1" thickBot="1" x14ac:dyDescent="0.3">
      <c r="A62" s="77" t="s">
        <v>52</v>
      </c>
      <c r="B62" s="77"/>
      <c r="C62" s="77"/>
      <c r="D62" s="77"/>
      <c r="E62" s="20">
        <f>IF(E61="","",E61/$H57)</f>
        <v>0.833350248655232</v>
      </c>
      <c r="F62" s="32">
        <f>IF(F61="","",F61/$H57)</f>
        <v>0.15167969146452856</v>
      </c>
      <c r="G62" s="32">
        <f t="shared" ref="G62:H62" si="3">IF(G61="","",G61/$H57)</f>
        <v>1.1773064041408708E-2</v>
      </c>
      <c r="H62" s="32">
        <f t="shared" si="3"/>
        <v>3.1969958388307559E-3</v>
      </c>
      <c r="I62" s="17">
        <f>IF(I61="","",SUM(E62:H62))</f>
        <v>0.99999999999999989</v>
      </c>
    </row>
    <row r="63" spans="1:12" ht="15.75" thickTop="1" x14ac:dyDescent="0.25">
      <c r="A63" s="19" t="s">
        <v>16</v>
      </c>
    </row>
    <row r="64" spans="1:12" ht="10.5" customHeight="1" x14ac:dyDescent="0.25">
      <c r="A64" s="7" t="s">
        <v>36</v>
      </c>
    </row>
    <row r="65" spans="1:1" ht="10.5" customHeight="1" x14ac:dyDescent="0.25">
      <c r="A65" s="7" t="s">
        <v>35</v>
      </c>
    </row>
    <row r="66" spans="1:1" ht="10.5" customHeight="1" x14ac:dyDescent="0.25">
      <c r="A66" s="7" t="s">
        <v>34</v>
      </c>
    </row>
    <row r="67" spans="1:1" ht="10.5" customHeight="1" x14ac:dyDescent="0.25">
      <c r="A67" s="7" t="s">
        <v>50</v>
      </c>
    </row>
    <row r="68" spans="1:1" ht="6" customHeight="1" x14ac:dyDescent="0.25"/>
  </sheetData>
  <mergeCells count="48">
    <mergeCell ref="C18:D18"/>
    <mergeCell ref="C55:D55"/>
    <mergeCell ref="A1:I1"/>
    <mergeCell ref="A13:I13"/>
    <mergeCell ref="C15:D15"/>
    <mergeCell ref="C16:D16"/>
    <mergeCell ref="C17:D17"/>
    <mergeCell ref="C30:D30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42:D42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54:D54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62:D62"/>
    <mergeCell ref="A57:D57"/>
    <mergeCell ref="C60:D60"/>
    <mergeCell ref="C61:D61"/>
    <mergeCell ref="C56:D56"/>
  </mergeCells>
  <pageMargins left="0" right="0" top="0" bottom="0" header="0" footer="0"/>
  <pageSetup paperSize="20000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45DB-4A90-4711-B440-8B404723E6EB}">
  <sheetPr>
    <tabColor rgb="FFFF0000"/>
  </sheetPr>
  <dimension ref="A1:L37"/>
  <sheetViews>
    <sheetView showGridLines="0" workbookViewId="0">
      <selection activeCell="M16" sqref="M16"/>
    </sheetView>
  </sheetViews>
  <sheetFormatPr defaultRowHeight="15" x14ac:dyDescent="0.25"/>
  <cols>
    <col min="1" max="1" width="11.140625" customWidth="1"/>
    <col min="2" max="2" width="13.85546875" customWidth="1"/>
    <col min="3" max="3" width="9.85546875" customWidth="1"/>
    <col min="4" max="4" width="9.42578125" customWidth="1"/>
    <col min="5" max="5" width="9.140625" style="3" customWidth="1"/>
    <col min="6" max="6" width="9" customWidth="1"/>
    <col min="7" max="7" width="10" customWidth="1"/>
    <col min="8" max="8" width="14.7109375" bestFit="1" customWidth="1"/>
    <col min="9" max="9" width="17.5703125" customWidth="1"/>
    <col min="11" max="11" width="9.5703125" hidden="1" customWidth="1"/>
  </cols>
  <sheetData>
    <row r="1" spans="1:12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2" spans="1:12" x14ac:dyDescent="0.25">
      <c r="A2" s="57"/>
    </row>
    <row r="3" spans="1:12" x14ac:dyDescent="0.25">
      <c r="A3" s="8" t="s">
        <v>63</v>
      </c>
    </row>
    <row r="4" spans="1:12" x14ac:dyDescent="0.25">
      <c r="A4" s="1" t="s">
        <v>0</v>
      </c>
      <c r="B4" t="s">
        <v>49</v>
      </c>
      <c r="H4" s="22" t="s">
        <v>58</v>
      </c>
      <c r="I4" s="21">
        <v>46220</v>
      </c>
    </row>
    <row r="5" spans="1:12" ht="4.5" customHeight="1" thickBot="1" x14ac:dyDescent="0.3"/>
    <row r="6" spans="1:12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2"/>
      <c r="L6" s="2"/>
    </row>
    <row r="7" spans="1:12" ht="15.75" thickTop="1" x14ac:dyDescent="0.25">
      <c r="A7" s="5" t="s">
        <v>1</v>
      </c>
      <c r="B7" s="5" t="s">
        <v>169</v>
      </c>
      <c r="C7" s="4">
        <v>10</v>
      </c>
      <c r="D7" s="4" t="s">
        <v>14</v>
      </c>
      <c r="E7" s="15">
        <v>1378</v>
      </c>
      <c r="F7" s="15">
        <f>G26</f>
        <v>118.5</v>
      </c>
      <c r="G7" s="15">
        <f>E7-F7</f>
        <v>1259.5</v>
      </c>
      <c r="H7" s="6">
        <v>46213</v>
      </c>
      <c r="I7" s="58" t="s">
        <v>168</v>
      </c>
      <c r="K7" s="27">
        <f>E7/C7</f>
        <v>137.80000000000001</v>
      </c>
    </row>
    <row r="8" spans="1:12" ht="4.5" customHeight="1" x14ac:dyDescent="0.25"/>
    <row r="9" spans="1:12" x14ac:dyDescent="0.25">
      <c r="A9" s="19" t="s">
        <v>16</v>
      </c>
      <c r="G9" s="27"/>
    </row>
    <row r="10" spans="1:12" ht="10.5" customHeight="1" x14ac:dyDescent="0.25">
      <c r="A10" s="7" t="s">
        <v>98</v>
      </c>
    </row>
    <row r="11" spans="1:12" ht="12.75" customHeight="1" x14ac:dyDescent="0.25">
      <c r="A11" s="7" t="s">
        <v>17</v>
      </c>
    </row>
    <row r="12" spans="1:12" ht="5.25" customHeight="1" x14ac:dyDescent="0.25"/>
    <row r="13" spans="1:12" x14ac:dyDescent="0.25">
      <c r="A13" s="72" t="s">
        <v>28</v>
      </c>
      <c r="B13" s="72"/>
      <c r="C13" s="72"/>
      <c r="D13" s="72"/>
      <c r="E13" s="72"/>
      <c r="F13" s="72"/>
      <c r="G13" s="72"/>
      <c r="H13" s="72"/>
      <c r="I13" s="72"/>
    </row>
    <row r="14" spans="1:12" ht="23.25" customHeight="1" thickBot="1" x14ac:dyDescent="0.3">
      <c r="A14" s="1" t="s">
        <v>170</v>
      </c>
      <c r="B14" s="1"/>
      <c r="C14" s="1"/>
    </row>
    <row r="15" spans="1:12" ht="16.5" thickTop="1" thickBot="1" x14ac:dyDescent="0.3">
      <c r="A15" s="9" t="s">
        <v>7</v>
      </c>
      <c r="B15" s="9" t="s">
        <v>2</v>
      </c>
      <c r="C15" s="73" t="s">
        <v>6</v>
      </c>
      <c r="D15" s="73"/>
      <c r="E15" s="10" t="s">
        <v>25</v>
      </c>
      <c r="F15" s="10" t="s">
        <v>3</v>
      </c>
      <c r="G15" s="10" t="s">
        <v>4</v>
      </c>
      <c r="H15" s="10" t="s">
        <v>5</v>
      </c>
      <c r="I15" s="11" t="s">
        <v>26</v>
      </c>
    </row>
    <row r="16" spans="1:12" ht="15.75" thickTop="1" x14ac:dyDescent="0.25">
      <c r="A16" t="s">
        <v>23</v>
      </c>
      <c r="B16" t="s">
        <v>62</v>
      </c>
      <c r="C16" s="74" t="s">
        <v>14</v>
      </c>
      <c r="D16" s="74"/>
      <c r="E16" s="3">
        <v>1</v>
      </c>
      <c r="F16" s="15">
        <f>K7</f>
        <v>137.80000000000001</v>
      </c>
      <c r="G16" s="15">
        <v>12.1</v>
      </c>
      <c r="H16" s="15">
        <f>F16-G16</f>
        <v>125.70000000000002</v>
      </c>
      <c r="I16" s="4" t="s">
        <v>20</v>
      </c>
    </row>
    <row r="17" spans="1:11" x14ac:dyDescent="0.25">
      <c r="A17" t="s">
        <v>23</v>
      </c>
      <c r="B17" t="s">
        <v>62</v>
      </c>
      <c r="C17" s="70" t="s">
        <v>14</v>
      </c>
      <c r="D17" s="70"/>
      <c r="E17" s="3">
        <f>E16+1</f>
        <v>2</v>
      </c>
      <c r="F17" s="15">
        <f>F16</f>
        <v>137.80000000000001</v>
      </c>
      <c r="G17" s="15">
        <v>12</v>
      </c>
      <c r="H17" s="15">
        <f t="shared" ref="H17:H25" si="0">F17-G17</f>
        <v>125.80000000000001</v>
      </c>
      <c r="I17" s="4" t="s">
        <v>20</v>
      </c>
    </row>
    <row r="18" spans="1:11" x14ac:dyDescent="0.25">
      <c r="A18" t="s">
        <v>23</v>
      </c>
      <c r="B18" t="s">
        <v>62</v>
      </c>
      <c r="C18" s="70" t="s">
        <v>14</v>
      </c>
      <c r="D18" s="70"/>
      <c r="E18" s="3">
        <f t="shared" ref="E18:E25" si="1">E17+1</f>
        <v>3</v>
      </c>
      <c r="F18" s="15">
        <f t="shared" ref="F18:F25" si="2">F17</f>
        <v>137.80000000000001</v>
      </c>
      <c r="G18" s="15">
        <v>12</v>
      </c>
      <c r="H18" s="15">
        <f t="shared" si="0"/>
        <v>125.80000000000001</v>
      </c>
      <c r="I18" s="4" t="s">
        <v>20</v>
      </c>
    </row>
    <row r="19" spans="1:11" x14ac:dyDescent="0.25">
      <c r="A19" t="s">
        <v>23</v>
      </c>
      <c r="B19" t="s">
        <v>62</v>
      </c>
      <c r="C19" s="70" t="s">
        <v>14</v>
      </c>
      <c r="D19" s="70"/>
      <c r="E19" s="3">
        <f t="shared" si="1"/>
        <v>4</v>
      </c>
      <c r="F19" s="15">
        <f t="shared" si="2"/>
        <v>137.80000000000001</v>
      </c>
      <c r="G19" s="15">
        <v>11.1</v>
      </c>
      <c r="H19" s="15">
        <f t="shared" si="0"/>
        <v>126.70000000000002</v>
      </c>
      <c r="I19" s="4" t="s">
        <v>20</v>
      </c>
    </row>
    <row r="20" spans="1:11" x14ac:dyDescent="0.25">
      <c r="A20" t="s">
        <v>23</v>
      </c>
      <c r="B20" t="s">
        <v>62</v>
      </c>
      <c r="C20" s="70" t="s">
        <v>14</v>
      </c>
      <c r="D20" s="70"/>
      <c r="E20" s="3">
        <f t="shared" si="1"/>
        <v>5</v>
      </c>
      <c r="F20" s="15">
        <f t="shared" si="2"/>
        <v>137.80000000000001</v>
      </c>
      <c r="G20" s="15">
        <v>12.1</v>
      </c>
      <c r="H20" s="15">
        <f t="shared" si="0"/>
        <v>125.70000000000002</v>
      </c>
      <c r="I20" s="4" t="s">
        <v>20</v>
      </c>
    </row>
    <row r="21" spans="1:11" x14ac:dyDescent="0.25">
      <c r="A21" t="s">
        <v>23</v>
      </c>
      <c r="B21" t="s">
        <v>62</v>
      </c>
      <c r="C21" s="70" t="s">
        <v>14</v>
      </c>
      <c r="D21" s="70"/>
      <c r="E21" s="3">
        <f t="shared" si="1"/>
        <v>6</v>
      </c>
      <c r="F21" s="15">
        <f t="shared" si="2"/>
        <v>137.80000000000001</v>
      </c>
      <c r="G21" s="15">
        <v>12</v>
      </c>
      <c r="H21" s="15">
        <f t="shared" si="0"/>
        <v>125.80000000000001</v>
      </c>
      <c r="I21" s="4" t="s">
        <v>20</v>
      </c>
    </row>
    <row r="22" spans="1:11" x14ac:dyDescent="0.25">
      <c r="A22" t="s">
        <v>23</v>
      </c>
      <c r="B22" t="s">
        <v>62</v>
      </c>
      <c r="C22" s="70" t="s">
        <v>14</v>
      </c>
      <c r="D22" s="70"/>
      <c r="E22" s="3">
        <f t="shared" si="1"/>
        <v>7</v>
      </c>
      <c r="F22" s="15">
        <f t="shared" si="2"/>
        <v>137.80000000000001</v>
      </c>
      <c r="G22" s="15">
        <v>12</v>
      </c>
      <c r="H22" s="15">
        <f t="shared" si="0"/>
        <v>125.80000000000001</v>
      </c>
      <c r="I22" s="4" t="s">
        <v>20</v>
      </c>
    </row>
    <row r="23" spans="1:11" x14ac:dyDescent="0.25">
      <c r="A23" t="s">
        <v>23</v>
      </c>
      <c r="B23" t="s">
        <v>62</v>
      </c>
      <c r="C23" s="70" t="s">
        <v>14</v>
      </c>
      <c r="D23" s="70"/>
      <c r="E23" s="3">
        <f t="shared" si="1"/>
        <v>8</v>
      </c>
      <c r="F23" s="15">
        <f t="shared" si="2"/>
        <v>137.80000000000001</v>
      </c>
      <c r="G23" s="15">
        <v>11.1</v>
      </c>
      <c r="H23" s="15">
        <f t="shared" si="0"/>
        <v>126.70000000000002</v>
      </c>
      <c r="I23" s="4" t="s">
        <v>20</v>
      </c>
    </row>
    <row r="24" spans="1:11" x14ac:dyDescent="0.25">
      <c r="A24" t="s">
        <v>23</v>
      </c>
      <c r="B24" t="s">
        <v>62</v>
      </c>
      <c r="C24" s="70" t="s">
        <v>14</v>
      </c>
      <c r="D24" s="70"/>
      <c r="E24" s="3">
        <f t="shared" si="1"/>
        <v>9</v>
      </c>
      <c r="F24" s="15">
        <f t="shared" si="2"/>
        <v>137.80000000000001</v>
      </c>
      <c r="G24" s="15">
        <v>12.1</v>
      </c>
      <c r="H24" s="15">
        <f t="shared" si="0"/>
        <v>125.70000000000002</v>
      </c>
      <c r="I24" s="4" t="s">
        <v>20</v>
      </c>
    </row>
    <row r="25" spans="1:11" ht="15.75" thickBot="1" x14ac:dyDescent="0.3">
      <c r="A25" t="s">
        <v>23</v>
      </c>
      <c r="B25" t="s">
        <v>62</v>
      </c>
      <c r="C25" s="70" t="s">
        <v>14</v>
      </c>
      <c r="D25" s="70"/>
      <c r="E25" s="3">
        <f t="shared" si="1"/>
        <v>10</v>
      </c>
      <c r="F25" s="15">
        <f t="shared" si="2"/>
        <v>137.80000000000001</v>
      </c>
      <c r="G25" s="15">
        <v>12</v>
      </c>
      <c r="H25" s="15">
        <f t="shared" si="0"/>
        <v>125.80000000000001</v>
      </c>
      <c r="I25" s="4" t="s">
        <v>20</v>
      </c>
    </row>
    <row r="26" spans="1:11" ht="16.5" thickTop="1" thickBot="1" x14ac:dyDescent="0.3">
      <c r="A26" s="75" t="s">
        <v>27</v>
      </c>
      <c r="B26" s="75"/>
      <c r="C26" s="75"/>
      <c r="D26" s="75"/>
      <c r="E26" s="12">
        <f>E25</f>
        <v>10</v>
      </c>
      <c r="F26" s="14">
        <f>SUM(F16:F25)</f>
        <v>1377.9999999999998</v>
      </c>
      <c r="G26" s="14">
        <f>SUM(G16:G25)</f>
        <v>118.5</v>
      </c>
      <c r="H26" s="14">
        <f>SUM(H16:H25)</f>
        <v>1259.5000000000002</v>
      </c>
      <c r="I26" s="13"/>
    </row>
    <row r="27" spans="1:11" ht="6.75" customHeight="1" thickTop="1" x14ac:dyDescent="0.25"/>
    <row r="28" spans="1:11" ht="15.75" thickBot="1" x14ac:dyDescent="0.3">
      <c r="A28" s="1" t="s">
        <v>29</v>
      </c>
    </row>
    <row r="29" spans="1:11" ht="30" customHeight="1" thickTop="1" thickBot="1" x14ac:dyDescent="0.3">
      <c r="A29" s="9" t="s">
        <v>7</v>
      </c>
      <c r="B29" s="9" t="s">
        <v>2</v>
      </c>
      <c r="C29" s="73" t="s">
        <v>6</v>
      </c>
      <c r="D29" s="73"/>
      <c r="E29" s="11" t="s">
        <v>30</v>
      </c>
      <c r="F29" s="11" t="s">
        <v>31</v>
      </c>
      <c r="G29" s="11" t="s">
        <v>32</v>
      </c>
      <c r="H29" s="11" t="s">
        <v>33</v>
      </c>
      <c r="I29" s="11" t="s">
        <v>37</v>
      </c>
    </row>
    <row r="30" spans="1:11" ht="16.5" thickTop="1" thickBot="1" x14ac:dyDescent="0.3">
      <c r="A30" t="s">
        <v>23</v>
      </c>
      <c r="B30" t="str">
        <f>B23</f>
        <v>TEMANGGUNG</v>
      </c>
      <c r="C30" s="76" t="str">
        <f>C23</f>
        <v>C48</v>
      </c>
      <c r="D30" s="76"/>
      <c r="E30" s="15">
        <v>737.5</v>
      </c>
      <c r="F30" s="15">
        <f>475.8</f>
        <v>475.8</v>
      </c>
      <c r="G30" s="15">
        <v>30.5</v>
      </c>
      <c r="H30" s="15">
        <f>IF(E30="","",(H26-E30-F30-G30))</f>
        <v>15.700000000000216</v>
      </c>
      <c r="I30" s="15">
        <f>IF(E30="","",SUM(E30:H30))</f>
        <v>1259.5000000000002</v>
      </c>
      <c r="K30" t="s">
        <v>172</v>
      </c>
    </row>
    <row r="31" spans="1:11" ht="16.5" thickTop="1" thickBot="1" x14ac:dyDescent="0.3">
      <c r="A31" s="77" t="s">
        <v>52</v>
      </c>
      <c r="B31" s="77"/>
      <c r="C31" s="77"/>
      <c r="D31" s="77"/>
      <c r="E31" s="20">
        <f>IF(E30="","",E30/$H26)</f>
        <v>0.58554982135768152</v>
      </c>
      <c r="F31" s="32">
        <f>IF(F30="","",F30/$H26)</f>
        <v>0.37776895593489473</v>
      </c>
      <c r="G31" s="32">
        <f t="shared" ref="G31:H31" si="3">IF(G30="","",G30/$H26)</f>
        <v>2.4215958713775302E-2</v>
      </c>
      <c r="H31" s="32">
        <f t="shared" si="3"/>
        <v>1.2465263993648442E-2</v>
      </c>
      <c r="I31" s="17">
        <f>IF(I30="","",SUM(E31:H31))</f>
        <v>1</v>
      </c>
    </row>
    <row r="32" spans="1:11" ht="15.75" thickTop="1" x14ac:dyDescent="0.25">
      <c r="A32" s="19" t="s">
        <v>16</v>
      </c>
    </row>
    <row r="33" spans="1:1" ht="10.5" customHeight="1" x14ac:dyDescent="0.25">
      <c r="A33" s="7" t="s">
        <v>48</v>
      </c>
    </row>
    <row r="34" spans="1:1" ht="10.5" customHeight="1" x14ac:dyDescent="0.25">
      <c r="A34" s="7" t="s">
        <v>35</v>
      </c>
    </row>
    <row r="35" spans="1:1" ht="10.5" customHeight="1" x14ac:dyDescent="0.25">
      <c r="A35" s="7" t="s">
        <v>34</v>
      </c>
    </row>
    <row r="36" spans="1:1" ht="10.5" customHeight="1" x14ac:dyDescent="0.25">
      <c r="A36" s="7" t="s">
        <v>50</v>
      </c>
    </row>
    <row r="37" spans="1:1" ht="6" customHeight="1" x14ac:dyDescent="0.25"/>
  </sheetData>
  <mergeCells count="17">
    <mergeCell ref="C25:D25"/>
    <mergeCell ref="A26:D26"/>
    <mergeCell ref="C29:D29"/>
    <mergeCell ref="C30:D30"/>
    <mergeCell ref="A31:D31"/>
    <mergeCell ref="C24:D24"/>
    <mergeCell ref="A1:I1"/>
    <mergeCell ref="A13:I1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</mergeCells>
  <pageMargins left="0" right="0" top="0" bottom="0" header="0" footer="0"/>
  <pageSetup paperSize="20000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2AC7-DDFF-4F69-8122-D0BFC83452C5}">
  <sheetPr>
    <tabColor rgb="FF00B050"/>
  </sheetPr>
  <dimension ref="A1:N86"/>
  <sheetViews>
    <sheetView showGridLines="0" workbookViewId="0">
      <selection activeCell="R83" sqref="R83"/>
    </sheetView>
  </sheetViews>
  <sheetFormatPr defaultRowHeight="15" x14ac:dyDescent="0.25"/>
  <cols>
    <col min="1" max="1" width="11.42578125" customWidth="1"/>
    <col min="2" max="2" width="12" customWidth="1"/>
    <col min="3" max="3" width="9.7109375" customWidth="1"/>
    <col min="4" max="4" width="10.5703125" bestFit="1" customWidth="1"/>
    <col min="5" max="5" width="10.28515625" style="3" customWidth="1"/>
    <col min="6" max="6" width="10.42578125" customWidth="1"/>
    <col min="7" max="7" width="10.5703125" bestFit="1" customWidth="1"/>
    <col min="8" max="8" width="14.85546875" customWidth="1"/>
    <col min="9" max="9" width="15.42578125" bestFit="1" customWidth="1"/>
    <col min="11" max="11" width="9.5703125" style="3" hidden="1" customWidth="1"/>
    <col min="12" max="12" width="0" hidden="1" customWidth="1"/>
    <col min="13" max="14" width="0" style="3" hidden="1" customWidth="1"/>
    <col min="15" max="15" width="0" hidden="1" customWidth="1"/>
  </cols>
  <sheetData>
    <row r="1" spans="1:14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4" x14ac:dyDescent="0.25">
      <c r="A3" s="8" t="s">
        <v>63</v>
      </c>
    </row>
    <row r="4" spans="1:14" x14ac:dyDescent="0.25">
      <c r="A4" s="1" t="s">
        <v>0</v>
      </c>
      <c r="B4" t="s">
        <v>49</v>
      </c>
      <c r="H4" s="22" t="s">
        <v>58</v>
      </c>
      <c r="I4" s="21">
        <v>46223</v>
      </c>
    </row>
    <row r="5" spans="1:14" ht="4.5" customHeight="1" thickBot="1" x14ac:dyDescent="0.3"/>
    <row r="6" spans="1:14" ht="31.5" customHeight="1" thickTop="1" thickBot="1" x14ac:dyDescent="0.3">
      <c r="A6" s="9" t="s">
        <v>7</v>
      </c>
      <c r="B6" s="9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0" t="s">
        <v>15</v>
      </c>
      <c r="I6" s="11" t="s">
        <v>19</v>
      </c>
      <c r="J6" s="2"/>
      <c r="K6" s="4"/>
      <c r="L6" s="2"/>
    </row>
    <row r="7" spans="1:14" ht="15.75" thickTop="1" x14ac:dyDescent="0.25">
      <c r="A7" s="5" t="s">
        <v>1</v>
      </c>
      <c r="B7" s="5" t="s">
        <v>107</v>
      </c>
      <c r="C7" s="4">
        <v>49</v>
      </c>
      <c r="D7" s="4" t="s">
        <v>22</v>
      </c>
      <c r="E7" s="15">
        <v>2183.9</v>
      </c>
      <c r="F7" s="15">
        <f>G75</f>
        <v>84.000000000000014</v>
      </c>
      <c r="G7" s="15">
        <f>E7-F7</f>
        <v>2099.9</v>
      </c>
      <c r="H7" s="6">
        <v>46221</v>
      </c>
      <c r="I7" s="53" t="s">
        <v>20</v>
      </c>
      <c r="K7" s="18"/>
    </row>
    <row r="8" spans="1:14" ht="4.5" customHeight="1" x14ac:dyDescent="0.25"/>
    <row r="9" spans="1:14" x14ac:dyDescent="0.25">
      <c r="A9" s="19" t="s">
        <v>16</v>
      </c>
    </row>
    <row r="10" spans="1:14" ht="10.5" customHeight="1" x14ac:dyDescent="0.25">
      <c r="A10" s="7" t="s">
        <v>98</v>
      </c>
    </row>
    <row r="11" spans="1:14" ht="12.75" customHeight="1" x14ac:dyDescent="0.25">
      <c r="A11" s="7" t="s">
        <v>17</v>
      </c>
    </row>
    <row r="12" spans="1:14" ht="5.25" customHeight="1" x14ac:dyDescent="0.25"/>
    <row r="13" spans="1:14" x14ac:dyDescent="0.25">
      <c r="A13" s="8" t="s">
        <v>142</v>
      </c>
      <c r="K13"/>
      <c r="M13"/>
      <c r="N13"/>
    </row>
    <row r="14" spans="1:14" ht="4.5" customHeight="1" thickBot="1" x14ac:dyDescent="0.3">
      <c r="K14"/>
      <c r="M14"/>
      <c r="N14"/>
    </row>
    <row r="15" spans="1:14" ht="31.5" customHeight="1" thickTop="1" thickBot="1" x14ac:dyDescent="0.3">
      <c r="A15" s="9" t="s">
        <v>7</v>
      </c>
      <c r="B15" s="9" t="s">
        <v>2</v>
      </c>
      <c r="C15" s="11" t="s">
        <v>97</v>
      </c>
      <c r="D15" s="10" t="s">
        <v>6</v>
      </c>
      <c r="E15" s="10" t="s">
        <v>3</v>
      </c>
      <c r="F15" s="10" t="s">
        <v>4</v>
      </c>
      <c r="G15" s="10" t="s">
        <v>5</v>
      </c>
      <c r="H15" s="10" t="s">
        <v>15</v>
      </c>
      <c r="I15" s="11" t="s">
        <v>19</v>
      </c>
      <c r="J15" s="2"/>
      <c r="K15" s="2"/>
      <c r="L15" s="2"/>
      <c r="M15"/>
      <c r="N15"/>
    </row>
    <row r="16" spans="1:14" ht="15.75" thickTop="1" x14ac:dyDescent="0.25">
      <c r="A16" s="5" t="s">
        <v>1</v>
      </c>
      <c r="B16" s="5" t="s">
        <v>107</v>
      </c>
      <c r="C16" s="4">
        <v>49</v>
      </c>
      <c r="D16" s="4" t="s">
        <v>22</v>
      </c>
      <c r="E16" s="15">
        <v>2293.1999999999998</v>
      </c>
      <c r="F16" s="15">
        <f>F7</f>
        <v>84.000000000000014</v>
      </c>
      <c r="G16" s="15">
        <f>E16-F16</f>
        <v>2209.1999999999998</v>
      </c>
      <c r="H16" s="6">
        <v>46221</v>
      </c>
      <c r="I16" s="53" t="s">
        <v>20</v>
      </c>
      <c r="K16" s="18"/>
    </row>
    <row r="17" spans="1:14" ht="4.5" customHeight="1" x14ac:dyDescent="0.25">
      <c r="K17"/>
      <c r="M17"/>
      <c r="N17"/>
    </row>
    <row r="18" spans="1:14" x14ac:dyDescent="0.25">
      <c r="A18" s="19" t="s">
        <v>16</v>
      </c>
      <c r="K18"/>
      <c r="M18"/>
      <c r="N18"/>
    </row>
    <row r="19" spans="1:14" ht="10.5" customHeight="1" x14ac:dyDescent="0.25">
      <c r="A19" s="7" t="s">
        <v>143</v>
      </c>
      <c r="K19"/>
      <c r="M19"/>
      <c r="N19"/>
    </row>
    <row r="20" spans="1:14" ht="12.75" customHeight="1" x14ac:dyDescent="0.25">
      <c r="A20" s="7" t="s">
        <v>17</v>
      </c>
      <c r="K20"/>
      <c r="M20"/>
      <c r="N20"/>
    </row>
    <row r="21" spans="1:14" ht="5.25" customHeight="1" x14ac:dyDescent="0.25">
      <c r="A21" s="7"/>
      <c r="K21"/>
      <c r="M21"/>
      <c r="N21"/>
    </row>
    <row r="22" spans="1:14" x14ac:dyDescent="0.25">
      <c r="A22" s="72" t="s">
        <v>28</v>
      </c>
      <c r="B22" s="72"/>
      <c r="C22" s="72"/>
      <c r="D22" s="72"/>
      <c r="E22" s="72"/>
      <c r="F22" s="72"/>
      <c r="G22" s="72"/>
      <c r="H22" s="72"/>
      <c r="I22" s="72"/>
    </row>
    <row r="23" spans="1:14" ht="23.25" customHeight="1" thickBot="1" x14ac:dyDescent="0.3">
      <c r="A23" s="1" t="s">
        <v>182</v>
      </c>
      <c r="B23" s="1"/>
      <c r="C23" s="1"/>
    </row>
    <row r="24" spans="1:14" ht="16.5" thickTop="1" thickBot="1" x14ac:dyDescent="0.3">
      <c r="A24" s="9" t="s">
        <v>7</v>
      </c>
      <c r="B24" s="9" t="s">
        <v>2</v>
      </c>
      <c r="C24" s="73" t="s">
        <v>6</v>
      </c>
      <c r="D24" s="73"/>
      <c r="E24" s="10" t="s">
        <v>25</v>
      </c>
      <c r="F24" s="10" t="s">
        <v>3</v>
      </c>
      <c r="G24" s="10" t="s">
        <v>4</v>
      </c>
      <c r="H24" s="10" t="s">
        <v>5</v>
      </c>
      <c r="I24" s="11" t="s">
        <v>26</v>
      </c>
    </row>
    <row r="25" spans="1:14" ht="15.75" thickTop="1" x14ac:dyDescent="0.25">
      <c r="A25" t="s">
        <v>23</v>
      </c>
      <c r="B25" t="str">
        <f>B7</f>
        <v>LOMBOK'24</v>
      </c>
      <c r="C25" s="74" t="s">
        <v>22</v>
      </c>
      <c r="D25" s="74"/>
      <c r="E25" s="3">
        <v>1</v>
      </c>
      <c r="F25" s="15">
        <v>45.9</v>
      </c>
      <c r="G25" s="15">
        <v>1.5</v>
      </c>
      <c r="H25" s="15">
        <f>F25-G25</f>
        <v>44.4</v>
      </c>
      <c r="I25" s="4" t="s">
        <v>20</v>
      </c>
    </row>
    <row r="26" spans="1:14" x14ac:dyDescent="0.25">
      <c r="A26" t="s">
        <v>23</v>
      </c>
      <c r="B26" t="s">
        <v>107</v>
      </c>
      <c r="C26" s="70" t="s">
        <v>22</v>
      </c>
      <c r="D26" s="70"/>
      <c r="E26" s="3">
        <f>E25+1</f>
        <v>2</v>
      </c>
      <c r="F26" s="15">
        <v>44.6</v>
      </c>
      <c r="G26" s="15">
        <v>1.5</v>
      </c>
      <c r="H26" s="15">
        <f t="shared" ref="H26:H74" si="0">F26-G26</f>
        <v>43.1</v>
      </c>
      <c r="I26" s="4" t="s">
        <v>20</v>
      </c>
    </row>
    <row r="27" spans="1:14" x14ac:dyDescent="0.25">
      <c r="A27" t="s">
        <v>23</v>
      </c>
      <c r="B27" t="s">
        <v>107</v>
      </c>
      <c r="C27" s="70" t="s">
        <v>22</v>
      </c>
      <c r="D27" s="70"/>
      <c r="E27" s="3">
        <f t="shared" ref="E27:E74" si="1">E26+1</f>
        <v>3</v>
      </c>
      <c r="F27" s="15">
        <v>46</v>
      </c>
      <c r="G27" s="15">
        <v>1.9</v>
      </c>
      <c r="H27" s="15">
        <f t="shared" si="0"/>
        <v>44.1</v>
      </c>
      <c r="I27" s="4" t="s">
        <v>20</v>
      </c>
    </row>
    <row r="28" spans="1:14" x14ac:dyDescent="0.25">
      <c r="A28" t="s">
        <v>23</v>
      </c>
      <c r="B28" t="s">
        <v>107</v>
      </c>
      <c r="C28" s="70" t="s">
        <v>22</v>
      </c>
      <c r="D28" s="70"/>
      <c r="E28" s="3">
        <f t="shared" si="1"/>
        <v>4</v>
      </c>
      <c r="F28" s="15">
        <v>49.5</v>
      </c>
      <c r="G28" s="15">
        <v>1.4</v>
      </c>
      <c r="H28" s="15">
        <f t="shared" si="0"/>
        <v>48.1</v>
      </c>
      <c r="I28" s="4" t="s">
        <v>20</v>
      </c>
    </row>
    <row r="29" spans="1:14" x14ac:dyDescent="0.25">
      <c r="A29" t="s">
        <v>23</v>
      </c>
      <c r="B29" t="s">
        <v>107</v>
      </c>
      <c r="C29" s="70" t="s">
        <v>22</v>
      </c>
      <c r="D29" s="70"/>
      <c r="E29" s="3">
        <f t="shared" si="1"/>
        <v>5</v>
      </c>
      <c r="F29" s="15">
        <v>46.6</v>
      </c>
      <c r="G29" s="15">
        <v>1.6</v>
      </c>
      <c r="H29" s="15">
        <f t="shared" si="0"/>
        <v>45</v>
      </c>
      <c r="I29" s="4" t="s">
        <v>20</v>
      </c>
    </row>
    <row r="30" spans="1:14" x14ac:dyDescent="0.25">
      <c r="A30" t="s">
        <v>23</v>
      </c>
      <c r="B30" t="s">
        <v>107</v>
      </c>
      <c r="C30" s="70" t="s">
        <v>22</v>
      </c>
      <c r="D30" s="70"/>
      <c r="E30" s="3">
        <f t="shared" si="1"/>
        <v>6</v>
      </c>
      <c r="F30" s="15">
        <v>49.2</v>
      </c>
      <c r="G30" s="15">
        <v>1.4</v>
      </c>
      <c r="H30" s="15">
        <f t="shared" si="0"/>
        <v>47.800000000000004</v>
      </c>
      <c r="I30" s="4" t="s">
        <v>20</v>
      </c>
    </row>
    <row r="31" spans="1:14" x14ac:dyDescent="0.25">
      <c r="A31" t="s">
        <v>23</v>
      </c>
      <c r="B31" t="s">
        <v>107</v>
      </c>
      <c r="C31" s="70" t="s">
        <v>22</v>
      </c>
      <c r="D31" s="70"/>
      <c r="E31" s="3">
        <f t="shared" si="1"/>
        <v>7</v>
      </c>
      <c r="F31" s="15">
        <v>45.8</v>
      </c>
      <c r="G31" s="15">
        <v>1.3</v>
      </c>
      <c r="H31" s="15">
        <f t="shared" si="0"/>
        <v>44.5</v>
      </c>
      <c r="I31" s="4" t="s">
        <v>20</v>
      </c>
    </row>
    <row r="32" spans="1:14" x14ac:dyDescent="0.25">
      <c r="A32" t="s">
        <v>23</v>
      </c>
      <c r="B32" t="s">
        <v>107</v>
      </c>
      <c r="C32" s="70" t="s">
        <v>22</v>
      </c>
      <c r="D32" s="70"/>
      <c r="E32" s="3">
        <f t="shared" si="1"/>
        <v>8</v>
      </c>
      <c r="F32" s="15">
        <v>42.7</v>
      </c>
      <c r="G32" s="15">
        <v>1.4</v>
      </c>
      <c r="H32" s="15">
        <f t="shared" si="0"/>
        <v>41.300000000000004</v>
      </c>
      <c r="I32" s="4" t="s">
        <v>20</v>
      </c>
    </row>
    <row r="33" spans="1:9" x14ac:dyDescent="0.25">
      <c r="A33" t="s">
        <v>23</v>
      </c>
      <c r="B33" t="s">
        <v>107</v>
      </c>
      <c r="C33" s="70" t="s">
        <v>22</v>
      </c>
      <c r="D33" s="70"/>
      <c r="E33" s="3">
        <f t="shared" si="1"/>
        <v>9</v>
      </c>
      <c r="F33" s="15">
        <v>47.3</v>
      </c>
      <c r="G33" s="15">
        <v>1.4</v>
      </c>
      <c r="H33" s="15">
        <f t="shared" si="0"/>
        <v>45.9</v>
      </c>
      <c r="I33" s="4" t="s">
        <v>20</v>
      </c>
    </row>
    <row r="34" spans="1:9" x14ac:dyDescent="0.25">
      <c r="A34" t="s">
        <v>23</v>
      </c>
      <c r="B34" t="s">
        <v>107</v>
      </c>
      <c r="C34" s="70" t="s">
        <v>22</v>
      </c>
      <c r="D34" s="70"/>
      <c r="E34" s="3">
        <f t="shared" si="1"/>
        <v>10</v>
      </c>
      <c r="F34" s="15">
        <v>46.6</v>
      </c>
      <c r="G34" s="15">
        <v>1.9</v>
      </c>
      <c r="H34" s="15">
        <f t="shared" si="0"/>
        <v>44.7</v>
      </c>
      <c r="I34" s="4" t="s">
        <v>20</v>
      </c>
    </row>
    <row r="35" spans="1:9" x14ac:dyDescent="0.25">
      <c r="A35" t="s">
        <v>23</v>
      </c>
      <c r="B35" t="s">
        <v>107</v>
      </c>
      <c r="C35" s="70" t="s">
        <v>22</v>
      </c>
      <c r="D35" s="70"/>
      <c r="E35" s="3">
        <f t="shared" si="1"/>
        <v>11</v>
      </c>
      <c r="F35" s="15">
        <v>46.2</v>
      </c>
      <c r="G35" s="15">
        <v>1.5</v>
      </c>
      <c r="H35" s="15">
        <f t="shared" si="0"/>
        <v>44.7</v>
      </c>
      <c r="I35" s="4" t="s">
        <v>20</v>
      </c>
    </row>
    <row r="36" spans="1:9" x14ac:dyDescent="0.25">
      <c r="A36" t="s">
        <v>23</v>
      </c>
      <c r="B36" t="s">
        <v>107</v>
      </c>
      <c r="C36" s="70" t="s">
        <v>22</v>
      </c>
      <c r="D36" s="70"/>
      <c r="E36" s="3">
        <f t="shared" si="1"/>
        <v>12</v>
      </c>
      <c r="F36" s="15">
        <v>43.6</v>
      </c>
      <c r="G36" s="15">
        <v>2</v>
      </c>
      <c r="H36" s="15">
        <f t="shared" si="0"/>
        <v>41.6</v>
      </c>
      <c r="I36" s="4" t="s">
        <v>20</v>
      </c>
    </row>
    <row r="37" spans="1:9" x14ac:dyDescent="0.25">
      <c r="A37" t="s">
        <v>23</v>
      </c>
      <c r="B37" t="s">
        <v>107</v>
      </c>
      <c r="C37" s="70" t="s">
        <v>22</v>
      </c>
      <c r="D37" s="70"/>
      <c r="E37" s="3">
        <f t="shared" si="1"/>
        <v>13</v>
      </c>
      <c r="F37" s="15">
        <v>36.299999999999997</v>
      </c>
      <c r="G37" s="15">
        <v>2.1</v>
      </c>
      <c r="H37" s="15">
        <f t="shared" si="0"/>
        <v>34.199999999999996</v>
      </c>
      <c r="I37" s="4" t="s">
        <v>20</v>
      </c>
    </row>
    <row r="38" spans="1:9" x14ac:dyDescent="0.25">
      <c r="A38" t="s">
        <v>23</v>
      </c>
      <c r="B38" t="s">
        <v>107</v>
      </c>
      <c r="C38" s="70" t="s">
        <v>22</v>
      </c>
      <c r="D38" s="70"/>
      <c r="E38" s="3">
        <f t="shared" si="1"/>
        <v>14</v>
      </c>
      <c r="F38" s="15">
        <v>47.1</v>
      </c>
      <c r="G38" s="15">
        <v>1.6</v>
      </c>
      <c r="H38" s="15">
        <f t="shared" si="0"/>
        <v>45.5</v>
      </c>
      <c r="I38" s="4" t="s">
        <v>20</v>
      </c>
    </row>
    <row r="39" spans="1:9" x14ac:dyDescent="0.25">
      <c r="A39" t="s">
        <v>23</v>
      </c>
      <c r="B39" t="s">
        <v>107</v>
      </c>
      <c r="C39" s="70" t="s">
        <v>22</v>
      </c>
      <c r="D39" s="70"/>
      <c r="E39" s="3">
        <f t="shared" si="1"/>
        <v>15</v>
      </c>
      <c r="F39" s="15">
        <v>44.5</v>
      </c>
      <c r="G39" s="15">
        <v>1.5</v>
      </c>
      <c r="H39" s="15">
        <f t="shared" si="0"/>
        <v>43</v>
      </c>
      <c r="I39" s="4" t="s">
        <v>20</v>
      </c>
    </row>
    <row r="40" spans="1:9" x14ac:dyDescent="0.25">
      <c r="A40" t="s">
        <v>23</v>
      </c>
      <c r="B40" t="s">
        <v>107</v>
      </c>
      <c r="C40" s="70" t="s">
        <v>22</v>
      </c>
      <c r="D40" s="70"/>
      <c r="E40" s="3">
        <f t="shared" si="1"/>
        <v>16</v>
      </c>
      <c r="F40" s="15">
        <v>47</v>
      </c>
      <c r="G40" s="15">
        <v>1.6</v>
      </c>
      <c r="H40" s="15">
        <f t="shared" si="0"/>
        <v>45.4</v>
      </c>
      <c r="I40" s="4" t="s">
        <v>20</v>
      </c>
    </row>
    <row r="41" spans="1:9" x14ac:dyDescent="0.25">
      <c r="A41" t="s">
        <v>23</v>
      </c>
      <c r="B41" t="s">
        <v>107</v>
      </c>
      <c r="C41" s="70" t="s">
        <v>22</v>
      </c>
      <c r="D41" s="70"/>
      <c r="E41" s="3">
        <f t="shared" si="1"/>
        <v>17</v>
      </c>
      <c r="F41" s="15">
        <v>46.3</v>
      </c>
      <c r="G41" s="15">
        <v>2</v>
      </c>
      <c r="H41" s="15">
        <f t="shared" si="0"/>
        <v>44.3</v>
      </c>
      <c r="I41" s="4" t="s">
        <v>20</v>
      </c>
    </row>
    <row r="42" spans="1:9" x14ac:dyDescent="0.25">
      <c r="A42" t="s">
        <v>23</v>
      </c>
      <c r="B42" t="s">
        <v>107</v>
      </c>
      <c r="C42" s="70" t="s">
        <v>22</v>
      </c>
      <c r="D42" s="70"/>
      <c r="E42" s="3">
        <f t="shared" si="1"/>
        <v>18</v>
      </c>
      <c r="F42" s="15">
        <v>47.9</v>
      </c>
      <c r="G42" s="15">
        <v>1.5</v>
      </c>
      <c r="H42" s="15">
        <f>F42-G42</f>
        <v>46.4</v>
      </c>
      <c r="I42" s="4" t="s">
        <v>20</v>
      </c>
    </row>
    <row r="43" spans="1:9" x14ac:dyDescent="0.25">
      <c r="A43" t="s">
        <v>23</v>
      </c>
      <c r="B43" t="s">
        <v>107</v>
      </c>
      <c r="C43" s="70" t="s">
        <v>22</v>
      </c>
      <c r="D43" s="70"/>
      <c r="E43" s="3">
        <f t="shared" si="1"/>
        <v>19</v>
      </c>
      <c r="F43" s="15">
        <v>50.1</v>
      </c>
      <c r="G43" s="15">
        <v>1.9</v>
      </c>
      <c r="H43" s="15">
        <f t="shared" si="0"/>
        <v>48.2</v>
      </c>
      <c r="I43" s="4" t="s">
        <v>20</v>
      </c>
    </row>
    <row r="44" spans="1:9" x14ac:dyDescent="0.25">
      <c r="A44" t="s">
        <v>23</v>
      </c>
      <c r="B44" t="s">
        <v>107</v>
      </c>
      <c r="C44" s="70" t="s">
        <v>22</v>
      </c>
      <c r="D44" s="70"/>
      <c r="E44" s="3">
        <f t="shared" si="1"/>
        <v>20</v>
      </c>
      <c r="F44" s="15">
        <v>49.7</v>
      </c>
      <c r="G44" s="15">
        <v>1.9</v>
      </c>
      <c r="H44" s="15">
        <f t="shared" si="0"/>
        <v>47.800000000000004</v>
      </c>
      <c r="I44" s="4" t="s">
        <v>20</v>
      </c>
    </row>
    <row r="45" spans="1:9" x14ac:dyDescent="0.25">
      <c r="A45" t="s">
        <v>23</v>
      </c>
      <c r="B45" t="s">
        <v>107</v>
      </c>
      <c r="C45" s="70" t="s">
        <v>22</v>
      </c>
      <c r="D45" s="70"/>
      <c r="E45" s="3">
        <f t="shared" si="1"/>
        <v>21</v>
      </c>
      <c r="F45" s="15">
        <v>47.5</v>
      </c>
      <c r="G45" s="15">
        <v>1.7</v>
      </c>
      <c r="H45" s="15">
        <f t="shared" si="0"/>
        <v>45.8</v>
      </c>
      <c r="I45" s="4" t="s">
        <v>20</v>
      </c>
    </row>
    <row r="46" spans="1:9" x14ac:dyDescent="0.25">
      <c r="A46" t="s">
        <v>23</v>
      </c>
      <c r="B46" t="s">
        <v>107</v>
      </c>
      <c r="C46" s="70" t="s">
        <v>22</v>
      </c>
      <c r="D46" s="70"/>
      <c r="E46" s="3">
        <f t="shared" si="1"/>
        <v>22</v>
      </c>
      <c r="F46" s="15">
        <v>51</v>
      </c>
      <c r="G46" s="15">
        <v>1.5</v>
      </c>
      <c r="H46" s="15">
        <f t="shared" si="0"/>
        <v>49.5</v>
      </c>
      <c r="I46" s="4" t="s">
        <v>20</v>
      </c>
    </row>
    <row r="47" spans="1:9" x14ac:dyDescent="0.25">
      <c r="A47" t="s">
        <v>23</v>
      </c>
      <c r="B47" t="s">
        <v>107</v>
      </c>
      <c r="C47" s="70" t="s">
        <v>22</v>
      </c>
      <c r="D47" s="70"/>
      <c r="E47" s="3">
        <f t="shared" si="1"/>
        <v>23</v>
      </c>
      <c r="F47" s="15">
        <v>48.7</v>
      </c>
      <c r="G47" s="15">
        <v>1.9</v>
      </c>
      <c r="H47" s="15">
        <f t="shared" si="0"/>
        <v>46.800000000000004</v>
      </c>
      <c r="I47" s="4" t="s">
        <v>20</v>
      </c>
    </row>
    <row r="48" spans="1:9" x14ac:dyDescent="0.25">
      <c r="A48" t="s">
        <v>23</v>
      </c>
      <c r="B48" t="s">
        <v>107</v>
      </c>
      <c r="C48" s="70" t="s">
        <v>22</v>
      </c>
      <c r="D48" s="70"/>
      <c r="E48" s="3">
        <f t="shared" si="1"/>
        <v>24</v>
      </c>
      <c r="F48" s="15">
        <v>40.700000000000003</v>
      </c>
      <c r="G48" s="15">
        <v>1.8</v>
      </c>
      <c r="H48" s="15">
        <f t="shared" si="0"/>
        <v>38.900000000000006</v>
      </c>
      <c r="I48" s="4" t="s">
        <v>20</v>
      </c>
    </row>
    <row r="49" spans="1:9" x14ac:dyDescent="0.25">
      <c r="A49" t="s">
        <v>23</v>
      </c>
      <c r="B49" t="s">
        <v>107</v>
      </c>
      <c r="C49" s="70" t="s">
        <v>22</v>
      </c>
      <c r="D49" s="70"/>
      <c r="E49" s="3">
        <f t="shared" si="1"/>
        <v>25</v>
      </c>
      <c r="F49" s="15">
        <v>44.6</v>
      </c>
      <c r="G49" s="15">
        <v>1.6</v>
      </c>
      <c r="H49" s="15">
        <f t="shared" si="0"/>
        <v>43</v>
      </c>
      <c r="I49" s="4" t="s">
        <v>20</v>
      </c>
    </row>
    <row r="50" spans="1:9" x14ac:dyDescent="0.25">
      <c r="A50" t="s">
        <v>23</v>
      </c>
      <c r="B50" t="s">
        <v>107</v>
      </c>
      <c r="C50" s="70" t="s">
        <v>22</v>
      </c>
      <c r="D50" s="70"/>
      <c r="E50" s="3">
        <f t="shared" si="1"/>
        <v>26</v>
      </c>
      <c r="F50" s="15">
        <v>45.6</v>
      </c>
      <c r="G50" s="15">
        <v>1.4</v>
      </c>
      <c r="H50" s="15">
        <f t="shared" si="0"/>
        <v>44.2</v>
      </c>
      <c r="I50" s="4" t="s">
        <v>20</v>
      </c>
    </row>
    <row r="51" spans="1:9" x14ac:dyDescent="0.25">
      <c r="A51" t="s">
        <v>23</v>
      </c>
      <c r="B51" t="s">
        <v>107</v>
      </c>
      <c r="C51" s="70" t="s">
        <v>22</v>
      </c>
      <c r="D51" s="70"/>
      <c r="E51" s="3">
        <f t="shared" si="1"/>
        <v>27</v>
      </c>
      <c r="F51" s="15">
        <v>46.4</v>
      </c>
      <c r="G51" s="15">
        <v>1.9</v>
      </c>
      <c r="H51" s="15">
        <f t="shared" si="0"/>
        <v>44.5</v>
      </c>
      <c r="I51" s="4" t="s">
        <v>20</v>
      </c>
    </row>
    <row r="52" spans="1:9" x14ac:dyDescent="0.25">
      <c r="A52" t="s">
        <v>23</v>
      </c>
      <c r="B52" t="s">
        <v>107</v>
      </c>
      <c r="C52" s="70" t="s">
        <v>22</v>
      </c>
      <c r="D52" s="70"/>
      <c r="E52" s="3">
        <f t="shared" si="1"/>
        <v>28</v>
      </c>
      <c r="F52" s="15">
        <v>44.9</v>
      </c>
      <c r="G52" s="15">
        <v>2</v>
      </c>
      <c r="H52" s="15">
        <f>F52-G52</f>
        <v>42.9</v>
      </c>
      <c r="I52" s="4" t="s">
        <v>20</v>
      </c>
    </row>
    <row r="53" spans="1:9" x14ac:dyDescent="0.25">
      <c r="A53" t="s">
        <v>23</v>
      </c>
      <c r="B53" t="s">
        <v>107</v>
      </c>
      <c r="C53" s="70" t="s">
        <v>22</v>
      </c>
      <c r="D53" s="70"/>
      <c r="E53" s="3">
        <f t="shared" si="1"/>
        <v>29</v>
      </c>
      <c r="F53" s="15">
        <v>48.2</v>
      </c>
      <c r="G53" s="15">
        <v>2.1</v>
      </c>
      <c r="H53" s="15">
        <f t="shared" si="0"/>
        <v>46.1</v>
      </c>
      <c r="I53" s="4" t="s">
        <v>20</v>
      </c>
    </row>
    <row r="54" spans="1:9" x14ac:dyDescent="0.25">
      <c r="A54" t="s">
        <v>23</v>
      </c>
      <c r="B54" t="s">
        <v>107</v>
      </c>
      <c r="C54" s="70" t="s">
        <v>22</v>
      </c>
      <c r="D54" s="70"/>
      <c r="E54" s="3">
        <f t="shared" si="1"/>
        <v>30</v>
      </c>
      <c r="F54" s="15">
        <v>42.7</v>
      </c>
      <c r="G54" s="15">
        <v>2</v>
      </c>
      <c r="H54" s="15">
        <f t="shared" ref="H54:H60" si="2">F54-G54</f>
        <v>40.700000000000003</v>
      </c>
      <c r="I54" s="4" t="s">
        <v>20</v>
      </c>
    </row>
    <row r="55" spans="1:9" x14ac:dyDescent="0.25">
      <c r="A55" t="s">
        <v>23</v>
      </c>
      <c r="B55" t="s">
        <v>107</v>
      </c>
      <c r="C55" s="70" t="s">
        <v>22</v>
      </c>
      <c r="D55" s="70"/>
      <c r="E55" s="3">
        <f t="shared" si="1"/>
        <v>31</v>
      </c>
      <c r="F55" s="15">
        <v>45.9</v>
      </c>
      <c r="G55" s="15">
        <v>1.8</v>
      </c>
      <c r="H55" s="15">
        <f t="shared" si="2"/>
        <v>44.1</v>
      </c>
      <c r="I55" s="4" t="s">
        <v>20</v>
      </c>
    </row>
    <row r="56" spans="1:9" x14ac:dyDescent="0.25">
      <c r="A56" t="s">
        <v>23</v>
      </c>
      <c r="B56" t="s">
        <v>107</v>
      </c>
      <c r="C56" s="70" t="s">
        <v>22</v>
      </c>
      <c r="D56" s="70"/>
      <c r="E56" s="3">
        <f t="shared" si="1"/>
        <v>32</v>
      </c>
      <c r="F56" s="15">
        <v>46.5</v>
      </c>
      <c r="G56" s="15">
        <v>1.6</v>
      </c>
      <c r="H56" s="15">
        <f t="shared" si="2"/>
        <v>44.9</v>
      </c>
      <c r="I56" s="4" t="s">
        <v>20</v>
      </c>
    </row>
    <row r="57" spans="1:9" x14ac:dyDescent="0.25">
      <c r="A57" t="s">
        <v>23</v>
      </c>
      <c r="B57" t="s">
        <v>107</v>
      </c>
      <c r="C57" s="70" t="s">
        <v>22</v>
      </c>
      <c r="D57" s="70"/>
      <c r="E57" s="3">
        <f t="shared" si="1"/>
        <v>33</v>
      </c>
      <c r="F57" s="15">
        <v>47.9</v>
      </c>
      <c r="G57" s="15">
        <v>1.9</v>
      </c>
      <c r="H57" s="15">
        <f t="shared" si="2"/>
        <v>46</v>
      </c>
      <c r="I57" s="4" t="s">
        <v>20</v>
      </c>
    </row>
    <row r="58" spans="1:9" x14ac:dyDescent="0.25">
      <c r="A58" t="s">
        <v>23</v>
      </c>
      <c r="B58" t="s">
        <v>107</v>
      </c>
      <c r="C58" s="70" t="s">
        <v>22</v>
      </c>
      <c r="D58" s="70"/>
      <c r="E58" s="3">
        <f t="shared" si="1"/>
        <v>34</v>
      </c>
      <c r="F58" s="15">
        <v>49</v>
      </c>
      <c r="G58" s="15">
        <v>2</v>
      </c>
      <c r="H58" s="15">
        <f t="shared" si="2"/>
        <v>47</v>
      </c>
      <c r="I58" s="4" t="s">
        <v>20</v>
      </c>
    </row>
    <row r="59" spans="1:9" x14ac:dyDescent="0.25">
      <c r="A59" t="s">
        <v>23</v>
      </c>
      <c r="B59" t="s">
        <v>107</v>
      </c>
      <c r="C59" s="70" t="s">
        <v>22</v>
      </c>
      <c r="D59" s="70"/>
      <c r="E59" s="3">
        <f t="shared" si="1"/>
        <v>35</v>
      </c>
      <c r="F59" s="15">
        <v>53.2</v>
      </c>
      <c r="G59" s="15">
        <v>1.7</v>
      </c>
      <c r="H59" s="15">
        <f t="shared" si="2"/>
        <v>51.5</v>
      </c>
      <c r="I59" s="4" t="s">
        <v>20</v>
      </c>
    </row>
    <row r="60" spans="1:9" x14ac:dyDescent="0.25">
      <c r="A60" t="s">
        <v>23</v>
      </c>
      <c r="B60" t="s">
        <v>107</v>
      </c>
      <c r="C60" s="70" t="s">
        <v>22</v>
      </c>
      <c r="D60" s="70"/>
      <c r="E60" s="3">
        <f t="shared" si="1"/>
        <v>36</v>
      </c>
      <c r="F60" s="15">
        <v>48.9</v>
      </c>
      <c r="G60" s="15">
        <v>1.5</v>
      </c>
      <c r="H60" s="15">
        <f t="shared" si="2"/>
        <v>47.4</v>
      </c>
      <c r="I60" s="4" t="s">
        <v>20</v>
      </c>
    </row>
    <row r="61" spans="1:9" x14ac:dyDescent="0.25">
      <c r="A61" t="s">
        <v>23</v>
      </c>
      <c r="B61" t="s">
        <v>107</v>
      </c>
      <c r="C61" s="70" t="s">
        <v>22</v>
      </c>
      <c r="D61" s="70"/>
      <c r="E61" s="3">
        <f t="shared" si="1"/>
        <v>37</v>
      </c>
      <c r="F61" s="15">
        <v>47.9</v>
      </c>
      <c r="G61" s="15">
        <v>1.9</v>
      </c>
      <c r="H61" s="15">
        <f>F61-G61</f>
        <v>46</v>
      </c>
      <c r="I61" s="4" t="s">
        <v>20</v>
      </c>
    </row>
    <row r="62" spans="1:9" x14ac:dyDescent="0.25">
      <c r="A62" t="s">
        <v>23</v>
      </c>
      <c r="B62" t="s">
        <v>107</v>
      </c>
      <c r="C62" s="70" t="s">
        <v>22</v>
      </c>
      <c r="D62" s="70"/>
      <c r="E62" s="3">
        <f t="shared" si="1"/>
        <v>38</v>
      </c>
      <c r="F62" s="15">
        <v>45.3</v>
      </c>
      <c r="G62" s="15">
        <v>1.5</v>
      </c>
      <c r="H62" s="15">
        <f t="shared" ref="H62:H64" si="3">F62-G62</f>
        <v>43.8</v>
      </c>
      <c r="I62" s="4" t="s">
        <v>20</v>
      </c>
    </row>
    <row r="63" spans="1:9" x14ac:dyDescent="0.25">
      <c r="A63" t="s">
        <v>23</v>
      </c>
      <c r="B63" t="s">
        <v>107</v>
      </c>
      <c r="C63" s="70" t="s">
        <v>22</v>
      </c>
      <c r="D63" s="70"/>
      <c r="E63" s="3">
        <f t="shared" si="1"/>
        <v>39</v>
      </c>
      <c r="F63" s="15">
        <v>49.2</v>
      </c>
      <c r="G63" s="15">
        <v>1.6</v>
      </c>
      <c r="H63" s="15">
        <f t="shared" si="3"/>
        <v>47.6</v>
      </c>
      <c r="I63" s="4" t="s">
        <v>20</v>
      </c>
    </row>
    <row r="64" spans="1:9" x14ac:dyDescent="0.25">
      <c r="A64" t="s">
        <v>23</v>
      </c>
      <c r="B64" t="s">
        <v>107</v>
      </c>
      <c r="C64" s="70" t="s">
        <v>22</v>
      </c>
      <c r="D64" s="70"/>
      <c r="E64" s="3">
        <f t="shared" si="1"/>
        <v>40</v>
      </c>
      <c r="F64" s="15">
        <v>41.3</v>
      </c>
      <c r="G64" s="15">
        <v>2</v>
      </c>
      <c r="H64" s="15">
        <f t="shared" si="3"/>
        <v>39.299999999999997</v>
      </c>
      <c r="I64" s="4" t="s">
        <v>20</v>
      </c>
    </row>
    <row r="65" spans="1:14" x14ac:dyDescent="0.25">
      <c r="A65" t="s">
        <v>23</v>
      </c>
      <c r="B65" t="s">
        <v>107</v>
      </c>
      <c r="C65" s="70" t="s">
        <v>22</v>
      </c>
      <c r="D65" s="70"/>
      <c r="E65" s="3">
        <f t="shared" si="1"/>
        <v>41</v>
      </c>
      <c r="F65" s="15">
        <v>54.9</v>
      </c>
      <c r="G65" s="15">
        <v>1.7</v>
      </c>
      <c r="H65" s="15">
        <f t="shared" si="0"/>
        <v>53.199999999999996</v>
      </c>
      <c r="I65" s="4" t="s">
        <v>20</v>
      </c>
    </row>
    <row r="66" spans="1:14" x14ac:dyDescent="0.25">
      <c r="A66" t="s">
        <v>23</v>
      </c>
      <c r="B66" t="s">
        <v>107</v>
      </c>
      <c r="C66" s="70" t="s">
        <v>22</v>
      </c>
      <c r="D66" s="70"/>
      <c r="E66" s="3">
        <f t="shared" si="1"/>
        <v>42</v>
      </c>
      <c r="F66" s="15">
        <v>47.8</v>
      </c>
      <c r="G66" s="15">
        <v>1.9</v>
      </c>
      <c r="H66" s="15">
        <f t="shared" si="0"/>
        <v>45.9</v>
      </c>
      <c r="I66" s="4" t="s">
        <v>20</v>
      </c>
    </row>
    <row r="67" spans="1:14" x14ac:dyDescent="0.25">
      <c r="A67" t="s">
        <v>23</v>
      </c>
      <c r="B67" t="s">
        <v>107</v>
      </c>
      <c r="C67" s="70" t="s">
        <v>22</v>
      </c>
      <c r="D67" s="70"/>
      <c r="E67" s="3">
        <f t="shared" si="1"/>
        <v>43</v>
      </c>
      <c r="F67" s="15">
        <v>44.2</v>
      </c>
      <c r="G67" s="15">
        <v>1.5</v>
      </c>
      <c r="H67" s="15">
        <f t="shared" si="0"/>
        <v>42.7</v>
      </c>
      <c r="I67" s="4" t="s">
        <v>20</v>
      </c>
    </row>
    <row r="68" spans="1:14" x14ac:dyDescent="0.25">
      <c r="A68" t="s">
        <v>23</v>
      </c>
      <c r="B68" t="s">
        <v>107</v>
      </c>
      <c r="C68" s="70" t="s">
        <v>22</v>
      </c>
      <c r="D68" s="70"/>
      <c r="E68" s="3">
        <f t="shared" si="1"/>
        <v>44</v>
      </c>
      <c r="F68" s="15">
        <v>48.1</v>
      </c>
      <c r="G68" s="15">
        <v>1.6</v>
      </c>
      <c r="H68" s="15">
        <f t="shared" si="0"/>
        <v>46.5</v>
      </c>
      <c r="I68" s="4" t="s">
        <v>20</v>
      </c>
    </row>
    <row r="69" spans="1:14" x14ac:dyDescent="0.25">
      <c r="A69" t="s">
        <v>23</v>
      </c>
      <c r="B69" t="s">
        <v>107</v>
      </c>
      <c r="C69" s="70" t="s">
        <v>22</v>
      </c>
      <c r="D69" s="70"/>
      <c r="E69" s="3">
        <f t="shared" si="1"/>
        <v>45</v>
      </c>
      <c r="F69" s="15">
        <v>46.7</v>
      </c>
      <c r="G69" s="15">
        <v>2</v>
      </c>
      <c r="H69" s="15">
        <f t="shared" si="0"/>
        <v>44.7</v>
      </c>
      <c r="I69" s="4" t="s">
        <v>20</v>
      </c>
    </row>
    <row r="70" spans="1:14" x14ac:dyDescent="0.25">
      <c r="A70" t="s">
        <v>23</v>
      </c>
      <c r="B70" t="s">
        <v>107</v>
      </c>
      <c r="C70" s="70" t="s">
        <v>22</v>
      </c>
      <c r="D70" s="70"/>
      <c r="E70" s="3">
        <f t="shared" si="1"/>
        <v>46</v>
      </c>
      <c r="F70" s="15">
        <v>43.1</v>
      </c>
      <c r="G70" s="15">
        <v>1.7</v>
      </c>
      <c r="H70" s="15">
        <f t="shared" si="0"/>
        <v>41.4</v>
      </c>
      <c r="I70" s="4" t="s">
        <v>20</v>
      </c>
    </row>
    <row r="71" spans="1:14" x14ac:dyDescent="0.25">
      <c r="A71" t="s">
        <v>23</v>
      </c>
      <c r="B71" t="s">
        <v>107</v>
      </c>
      <c r="C71" s="70" t="s">
        <v>22</v>
      </c>
      <c r="D71" s="70"/>
      <c r="E71" s="3">
        <f t="shared" si="1"/>
        <v>47</v>
      </c>
      <c r="F71" s="15">
        <v>52</v>
      </c>
      <c r="G71" s="15">
        <v>1.9</v>
      </c>
      <c r="H71" s="15">
        <f t="shared" si="0"/>
        <v>50.1</v>
      </c>
      <c r="I71" s="4" t="s">
        <v>20</v>
      </c>
    </row>
    <row r="72" spans="1:14" x14ac:dyDescent="0.25">
      <c r="A72" t="s">
        <v>23</v>
      </c>
      <c r="B72" t="s">
        <v>107</v>
      </c>
      <c r="C72" s="70" t="s">
        <v>22</v>
      </c>
      <c r="D72" s="70"/>
      <c r="E72" s="3">
        <f t="shared" si="1"/>
        <v>48</v>
      </c>
      <c r="F72" s="15">
        <v>45.2</v>
      </c>
      <c r="G72" s="15">
        <v>1.7</v>
      </c>
      <c r="H72" s="15">
        <f>F72-G72</f>
        <v>43.5</v>
      </c>
      <c r="I72" s="4" t="s">
        <v>20</v>
      </c>
      <c r="K72" s="3">
        <v>166.5</v>
      </c>
    </row>
    <row r="73" spans="1:14" x14ac:dyDescent="0.25">
      <c r="A73" t="s">
        <v>23</v>
      </c>
      <c r="B73" t="s">
        <v>107</v>
      </c>
      <c r="C73" s="70" t="s">
        <v>22</v>
      </c>
      <c r="D73" s="70"/>
      <c r="E73" s="3">
        <f t="shared" si="1"/>
        <v>49</v>
      </c>
      <c r="F73" s="15">
        <v>36.700000000000003</v>
      </c>
      <c r="G73" s="15">
        <v>1.5</v>
      </c>
      <c r="H73" s="15">
        <f t="shared" si="0"/>
        <v>35.200000000000003</v>
      </c>
      <c r="I73" s="4" t="s">
        <v>20</v>
      </c>
      <c r="K73" s="3">
        <v>163.1</v>
      </c>
      <c r="M73" s="3" t="s">
        <v>183</v>
      </c>
    </row>
    <row r="74" spans="1:14" ht="15.75" thickBot="1" x14ac:dyDescent="0.3">
      <c r="A74" t="s">
        <v>23</v>
      </c>
      <c r="B74" t="s">
        <v>107</v>
      </c>
      <c r="C74" s="70" t="s">
        <v>22</v>
      </c>
      <c r="D74" s="70"/>
      <c r="E74" s="3">
        <f t="shared" si="1"/>
        <v>50</v>
      </c>
      <c r="F74" s="15">
        <v>16.2</v>
      </c>
      <c r="G74" s="15">
        <v>0.2</v>
      </c>
      <c r="H74" s="15">
        <f t="shared" si="0"/>
        <v>16</v>
      </c>
      <c r="I74" s="4" t="s">
        <v>42</v>
      </c>
      <c r="K74" s="3">
        <v>48</v>
      </c>
      <c r="L74" s="27">
        <f>E7-F75</f>
        <v>-109.29999999999973</v>
      </c>
      <c r="M74" s="3">
        <v>52</v>
      </c>
    </row>
    <row r="75" spans="1:14" ht="16.5" thickTop="1" thickBot="1" x14ac:dyDescent="0.3">
      <c r="A75" s="75" t="s">
        <v>27</v>
      </c>
      <c r="B75" s="75"/>
      <c r="C75" s="75"/>
      <c r="D75" s="75"/>
      <c r="E75" s="12">
        <f>E74</f>
        <v>50</v>
      </c>
      <c r="F75" s="14">
        <f>SUM(F25:F74)</f>
        <v>2293.1999999999998</v>
      </c>
      <c r="G75" s="14">
        <f>SUM(G25:G74)</f>
        <v>84.000000000000014</v>
      </c>
      <c r="H75" s="14">
        <f>SUM(H25:H74)</f>
        <v>2209.1999999999998</v>
      </c>
      <c r="I75" s="13"/>
      <c r="K75" s="18">
        <f>SUM(K72:K74)</f>
        <v>377.6</v>
      </c>
      <c r="L75" s="56"/>
      <c r="M75" s="3">
        <v>19</v>
      </c>
      <c r="N75" s="3">
        <v>18.2</v>
      </c>
    </row>
    <row r="76" spans="1:14" ht="6.75" customHeight="1" thickTop="1" x14ac:dyDescent="0.25"/>
    <row r="77" spans="1:14" ht="15.75" thickBot="1" x14ac:dyDescent="0.3">
      <c r="A77" s="1" t="s">
        <v>29</v>
      </c>
      <c r="M77" s="3">
        <f>SUM(M74:M76)</f>
        <v>71</v>
      </c>
      <c r="N77" s="3">
        <f>(71*25)+18.2</f>
        <v>1793.2</v>
      </c>
    </row>
    <row r="78" spans="1:14" ht="30" customHeight="1" thickTop="1" thickBot="1" x14ac:dyDescent="0.3">
      <c r="A78" s="9" t="s">
        <v>7</v>
      </c>
      <c r="B78" s="9" t="s">
        <v>2</v>
      </c>
      <c r="C78" s="73" t="s">
        <v>6</v>
      </c>
      <c r="D78" s="73"/>
      <c r="E78" s="11" t="s">
        <v>30</v>
      </c>
      <c r="F78" s="11" t="s">
        <v>31</v>
      </c>
      <c r="G78" s="11" t="s">
        <v>32</v>
      </c>
      <c r="H78" s="11" t="s">
        <v>33</v>
      </c>
      <c r="I78" s="11" t="s">
        <v>37</v>
      </c>
      <c r="L78">
        <v>2183.9</v>
      </c>
    </row>
    <row r="79" spans="1:14" ht="16.5" thickTop="1" thickBot="1" x14ac:dyDescent="0.3">
      <c r="A79" t="s">
        <v>23</v>
      </c>
      <c r="B79" t="str">
        <f>B73</f>
        <v>LOMBOK'24</v>
      </c>
      <c r="C79" s="76" t="str">
        <f>C71</f>
        <v>Ball Goni</v>
      </c>
      <c r="D79" s="76"/>
      <c r="E79" s="15">
        <v>1793.2</v>
      </c>
      <c r="F79" s="15">
        <v>377.6</v>
      </c>
      <c r="G79" s="15">
        <v>29.8</v>
      </c>
      <c r="H79" s="15">
        <f>IF(E79="","",(H75-E79-F79-G79))</f>
        <v>8.5999999999997492</v>
      </c>
      <c r="I79" s="15">
        <f>IF(E79="","",SUM(E79:H79))</f>
        <v>2209.2000000000003</v>
      </c>
    </row>
    <row r="80" spans="1:14" ht="16.5" thickTop="1" thickBot="1" x14ac:dyDescent="0.3">
      <c r="A80" s="77" t="s">
        <v>52</v>
      </c>
      <c r="B80" s="77"/>
      <c r="C80" s="77"/>
      <c r="D80" s="77"/>
      <c r="E80" s="20">
        <f>IF(E79="","",E79/$H75)</f>
        <v>0.81169654173456462</v>
      </c>
      <c r="F80" s="32">
        <f>IF(F79="","",F79/$H75)</f>
        <v>0.17092160057939529</v>
      </c>
      <c r="G80" s="32">
        <f t="shared" ref="G80:H80" si="4">IF(G79="","",G79/$H75)</f>
        <v>1.3489045808437445E-2</v>
      </c>
      <c r="H80" s="32">
        <f t="shared" si="4"/>
        <v>3.8928118776026389E-3</v>
      </c>
      <c r="I80" s="17">
        <f>IF(I79="","",SUM(E80:H80))</f>
        <v>1</v>
      </c>
    </row>
    <row r="81" spans="1:1" ht="15.75" thickTop="1" x14ac:dyDescent="0.25">
      <c r="A81" s="19" t="s">
        <v>16</v>
      </c>
    </row>
    <row r="82" spans="1:1" ht="10.5" customHeight="1" x14ac:dyDescent="0.25">
      <c r="A82" s="7" t="s">
        <v>36</v>
      </c>
    </row>
    <row r="83" spans="1:1" ht="10.5" customHeight="1" x14ac:dyDescent="0.25">
      <c r="A83" s="7" t="s">
        <v>35</v>
      </c>
    </row>
    <row r="84" spans="1:1" ht="10.5" customHeight="1" x14ac:dyDescent="0.25">
      <c r="A84" s="7" t="s">
        <v>34</v>
      </c>
    </row>
    <row r="85" spans="1:1" ht="10.5" customHeight="1" x14ac:dyDescent="0.25">
      <c r="A85" s="7" t="s">
        <v>50</v>
      </c>
    </row>
    <row r="86" spans="1:1" ht="6" customHeight="1" x14ac:dyDescent="0.25"/>
  </sheetData>
  <mergeCells count="57">
    <mergeCell ref="C27:D27"/>
    <mergeCell ref="A1:I1"/>
    <mergeCell ref="A22:I22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51:D51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68:D68"/>
    <mergeCell ref="C54:D54"/>
    <mergeCell ref="C55:D55"/>
    <mergeCell ref="C56:D56"/>
    <mergeCell ref="C57:D57"/>
    <mergeCell ref="C52:D52"/>
    <mergeCell ref="C53:D53"/>
    <mergeCell ref="C65:D65"/>
    <mergeCell ref="C66:D66"/>
    <mergeCell ref="C67:D67"/>
    <mergeCell ref="C64:D64"/>
    <mergeCell ref="C58:D58"/>
    <mergeCell ref="C59:D59"/>
    <mergeCell ref="C60:D60"/>
    <mergeCell ref="C61:D61"/>
    <mergeCell ref="C62:D62"/>
    <mergeCell ref="C63:D63"/>
    <mergeCell ref="C69:D69"/>
    <mergeCell ref="C70:D70"/>
    <mergeCell ref="C71:D71"/>
    <mergeCell ref="C72:D72"/>
    <mergeCell ref="C73:D73"/>
    <mergeCell ref="C74:D74"/>
    <mergeCell ref="A75:D75"/>
    <mergeCell ref="C78:D78"/>
    <mergeCell ref="C79:D79"/>
    <mergeCell ref="A80:D80"/>
  </mergeCells>
  <pageMargins left="0" right="0" top="0" bottom="0" header="0" footer="0"/>
  <pageSetup paperSize="20000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09AE-1342-440C-929D-F90B7C40AD0C}">
  <dimension ref="A1:M128"/>
  <sheetViews>
    <sheetView showGridLines="0" topLeftCell="A4" workbookViewId="0">
      <selection activeCell="G18" sqref="G18:G20"/>
    </sheetView>
  </sheetViews>
  <sheetFormatPr defaultRowHeight="15" x14ac:dyDescent="0.25"/>
  <cols>
    <col min="1" max="1" width="12.28515625" customWidth="1"/>
    <col min="2" max="2" width="13.85546875" customWidth="1"/>
    <col min="3" max="3" width="10" customWidth="1"/>
    <col min="4" max="4" width="9.7109375" customWidth="1"/>
    <col min="5" max="5" width="10.28515625" style="3" customWidth="1"/>
    <col min="6" max="6" width="9.28515625" customWidth="1"/>
    <col min="7" max="7" width="9.140625" customWidth="1"/>
    <col min="8" max="8" width="11.7109375" customWidth="1"/>
    <col min="9" max="9" width="18.85546875" customWidth="1"/>
    <col min="11" max="11" width="9.140625" style="3" hidden="1" customWidth="1"/>
    <col min="12" max="13" width="0" style="3" hidden="1" customWidth="1"/>
  </cols>
  <sheetData>
    <row r="1" spans="1:11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1" x14ac:dyDescent="0.25">
      <c r="A3" s="8" t="s">
        <v>190</v>
      </c>
    </row>
    <row r="4" spans="1:11" x14ac:dyDescent="0.25">
      <c r="A4" s="1" t="s">
        <v>0</v>
      </c>
      <c r="B4" t="s">
        <v>193</v>
      </c>
      <c r="H4" s="22" t="s">
        <v>58</v>
      </c>
      <c r="I4" s="21">
        <v>46232</v>
      </c>
    </row>
    <row r="5" spans="1:11" ht="4.5" customHeight="1" thickBot="1" x14ac:dyDescent="0.3"/>
    <row r="6" spans="1:11" s="3" customFormat="1" ht="31.5" customHeight="1" thickTop="1" thickBot="1" x14ac:dyDescent="0.3">
      <c r="A6" s="10" t="s">
        <v>7</v>
      </c>
      <c r="B6" s="10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1" t="s">
        <v>15</v>
      </c>
      <c r="I6" s="11" t="s">
        <v>19</v>
      </c>
      <c r="J6" s="4"/>
    </row>
    <row r="7" spans="1:11" ht="15.75" thickTop="1" x14ac:dyDescent="0.25">
      <c r="A7" s="5" t="s">
        <v>1</v>
      </c>
      <c r="B7" s="5" t="s">
        <v>189</v>
      </c>
      <c r="C7" s="4">
        <v>8</v>
      </c>
      <c r="D7" s="4" t="s">
        <v>14</v>
      </c>
      <c r="E7" s="15">
        <v>1033.5</v>
      </c>
      <c r="F7" s="15">
        <f>G36</f>
        <v>94.2</v>
      </c>
      <c r="G7" s="15">
        <f>E7-F7</f>
        <v>939.3</v>
      </c>
      <c r="H7" s="6">
        <v>46223</v>
      </c>
      <c r="I7" s="53" t="s">
        <v>188</v>
      </c>
      <c r="K7" s="3">
        <f>E7/C7</f>
        <v>129.1875</v>
      </c>
    </row>
    <row r="8" spans="1:11" x14ac:dyDescent="0.25">
      <c r="A8" s="5" t="s">
        <v>1</v>
      </c>
      <c r="B8" s="5" t="s">
        <v>184</v>
      </c>
      <c r="C8" s="4">
        <v>31</v>
      </c>
      <c r="D8" s="4" t="s">
        <v>22</v>
      </c>
      <c r="E8" s="15">
        <v>1194.8</v>
      </c>
      <c r="F8" s="15">
        <f>G81</f>
        <v>31.6</v>
      </c>
      <c r="G8" s="15">
        <f>E8-F8</f>
        <v>1163.2</v>
      </c>
      <c r="H8" s="6">
        <v>46223</v>
      </c>
      <c r="I8" s="53" t="s">
        <v>188</v>
      </c>
    </row>
    <row r="9" spans="1:11" x14ac:dyDescent="0.25">
      <c r="A9" s="5" t="s">
        <v>1</v>
      </c>
      <c r="B9" s="5" t="s">
        <v>185</v>
      </c>
      <c r="C9" s="4">
        <v>22</v>
      </c>
      <c r="D9" s="4" t="s">
        <v>22</v>
      </c>
      <c r="E9" s="15">
        <v>1022.6</v>
      </c>
      <c r="F9" s="15">
        <f>G118</f>
        <v>26</v>
      </c>
      <c r="G9" s="15">
        <f>E9-F9</f>
        <v>996.6</v>
      </c>
      <c r="H9" s="6">
        <v>46223</v>
      </c>
      <c r="I9" s="53" t="s">
        <v>188</v>
      </c>
    </row>
    <row r="10" spans="1:11" ht="4.5" customHeight="1" x14ac:dyDescent="0.25"/>
    <row r="11" spans="1:11" x14ac:dyDescent="0.25">
      <c r="A11" s="19" t="s">
        <v>16</v>
      </c>
    </row>
    <row r="12" spans="1:11" ht="10.5" customHeight="1" x14ac:dyDescent="0.25">
      <c r="A12" s="7" t="s">
        <v>98</v>
      </c>
    </row>
    <row r="13" spans="1:11" ht="12.75" customHeight="1" x14ac:dyDescent="0.25">
      <c r="A13" s="7" t="s">
        <v>17</v>
      </c>
    </row>
    <row r="14" spans="1:11" ht="5.25" customHeight="1" x14ac:dyDescent="0.25"/>
    <row r="15" spans="1:11" x14ac:dyDescent="0.25">
      <c r="A15" s="8" t="s">
        <v>191</v>
      </c>
    </row>
    <row r="16" spans="1:11" ht="4.5" customHeight="1" thickBot="1" x14ac:dyDescent="0.3"/>
    <row r="17" spans="1:11" s="3" customFormat="1" ht="31.5" customHeight="1" thickTop="1" thickBot="1" x14ac:dyDescent="0.3">
      <c r="A17" s="10" t="s">
        <v>7</v>
      </c>
      <c r="B17" s="10" t="s">
        <v>2</v>
      </c>
      <c r="C17" s="11" t="s">
        <v>97</v>
      </c>
      <c r="D17" s="10" t="s">
        <v>6</v>
      </c>
      <c r="E17" s="10" t="s">
        <v>3</v>
      </c>
      <c r="F17" s="10" t="s">
        <v>4</v>
      </c>
      <c r="G17" s="10" t="s">
        <v>5</v>
      </c>
      <c r="H17" s="11" t="s">
        <v>15</v>
      </c>
      <c r="I17" s="11" t="s">
        <v>192</v>
      </c>
      <c r="J17" s="4"/>
    </row>
    <row r="18" spans="1:11" ht="15.75" thickTop="1" x14ac:dyDescent="0.25">
      <c r="A18" s="5" t="s">
        <v>1</v>
      </c>
      <c r="B18" s="5" t="s">
        <v>189</v>
      </c>
      <c r="C18" s="4">
        <v>8</v>
      </c>
      <c r="D18" s="4" t="s">
        <v>14</v>
      </c>
      <c r="E18" s="15">
        <v>1033.5</v>
      </c>
      <c r="F18" s="15">
        <f>F7</f>
        <v>94.2</v>
      </c>
      <c r="G18" s="15">
        <f>E18-F18</f>
        <v>939.3</v>
      </c>
      <c r="H18" s="6">
        <v>46223</v>
      </c>
      <c r="I18" s="15">
        <f>E18-E7</f>
        <v>0</v>
      </c>
    </row>
    <row r="19" spans="1:11" x14ac:dyDescent="0.25">
      <c r="A19" s="5" t="s">
        <v>1</v>
      </c>
      <c r="B19" s="5" t="s">
        <v>184</v>
      </c>
      <c r="C19" s="4">
        <v>31</v>
      </c>
      <c r="D19" s="4" t="s">
        <v>22</v>
      </c>
      <c r="E19" s="15">
        <v>1270.5999999999999</v>
      </c>
      <c r="F19" s="15">
        <f t="shared" ref="F19:F20" si="0">F8</f>
        <v>31.6</v>
      </c>
      <c r="G19" s="15">
        <f>E19-F19</f>
        <v>1239</v>
      </c>
      <c r="H19" s="6">
        <v>46223</v>
      </c>
      <c r="I19" s="15">
        <f>E19-E8</f>
        <v>75.799999999999955</v>
      </c>
    </row>
    <row r="20" spans="1:11" x14ac:dyDescent="0.25">
      <c r="A20" s="5" t="s">
        <v>1</v>
      </c>
      <c r="B20" s="5" t="s">
        <v>185</v>
      </c>
      <c r="C20" s="4">
        <v>22</v>
      </c>
      <c r="D20" s="4" t="s">
        <v>22</v>
      </c>
      <c r="E20" s="15">
        <v>1048</v>
      </c>
      <c r="F20" s="15">
        <f t="shared" si="0"/>
        <v>26</v>
      </c>
      <c r="G20" s="15">
        <f>E20-F20</f>
        <v>1022</v>
      </c>
      <c r="H20" s="6">
        <v>46223</v>
      </c>
      <c r="I20" s="15">
        <f>E20-E9</f>
        <v>25.399999999999977</v>
      </c>
    </row>
    <row r="21" spans="1:11" ht="4.5" customHeight="1" x14ac:dyDescent="0.25"/>
    <row r="22" spans="1:11" x14ac:dyDescent="0.25">
      <c r="A22" s="19" t="s">
        <v>16</v>
      </c>
    </row>
    <row r="23" spans="1:11" ht="10.5" customHeight="1" x14ac:dyDescent="0.25">
      <c r="A23" s="7" t="s">
        <v>143</v>
      </c>
    </row>
    <row r="24" spans="1:11" ht="12" customHeight="1" x14ac:dyDescent="0.25">
      <c r="A24" s="7" t="s">
        <v>17</v>
      </c>
    </row>
    <row r="25" spans="1:11" x14ac:dyDescent="0.25">
      <c r="A25" s="72" t="s">
        <v>28</v>
      </c>
      <c r="B25" s="72"/>
      <c r="C25" s="72"/>
      <c r="D25" s="72"/>
      <c r="E25" s="72"/>
      <c r="F25" s="72"/>
      <c r="G25" s="72"/>
      <c r="H25" s="72"/>
      <c r="I25" s="72"/>
    </row>
    <row r="26" spans="1:11" ht="23.25" customHeight="1" thickBot="1" x14ac:dyDescent="0.3">
      <c r="A26" s="1" t="s">
        <v>197</v>
      </c>
      <c r="B26" s="1"/>
      <c r="C26" s="1"/>
    </row>
    <row r="27" spans="1:11" s="3" customFormat="1" ht="16.5" thickTop="1" thickBot="1" x14ac:dyDescent="0.3">
      <c r="A27" s="10" t="s">
        <v>7</v>
      </c>
      <c r="B27" s="10" t="s">
        <v>2</v>
      </c>
      <c r="C27" s="73" t="s">
        <v>6</v>
      </c>
      <c r="D27" s="73"/>
      <c r="E27" s="10" t="s">
        <v>25</v>
      </c>
      <c r="F27" s="10" t="s">
        <v>3</v>
      </c>
      <c r="G27" s="10" t="s">
        <v>4</v>
      </c>
      <c r="H27" s="10" t="s">
        <v>5</v>
      </c>
      <c r="I27" s="11" t="s">
        <v>26</v>
      </c>
      <c r="K27" s="3" t="s">
        <v>194</v>
      </c>
    </row>
    <row r="28" spans="1:11" ht="15.75" thickTop="1" x14ac:dyDescent="0.25">
      <c r="A28" t="s">
        <v>23</v>
      </c>
      <c r="B28" t="s">
        <v>189</v>
      </c>
      <c r="C28" s="74" t="str">
        <f>D7</f>
        <v>C48</v>
      </c>
      <c r="D28" s="74"/>
      <c r="E28" s="3">
        <v>1</v>
      </c>
      <c r="F28" s="15">
        <f>K7</f>
        <v>129.1875</v>
      </c>
      <c r="G28" s="15">
        <v>11.9</v>
      </c>
      <c r="H28" s="15">
        <f>F28-G28</f>
        <v>117.28749999999999</v>
      </c>
      <c r="I28" s="4" t="s">
        <v>20</v>
      </c>
      <c r="K28" s="3">
        <v>34.700000000000003</v>
      </c>
    </row>
    <row r="29" spans="1:11" x14ac:dyDescent="0.25">
      <c r="A29" t="s">
        <v>23</v>
      </c>
      <c r="B29" t="s">
        <v>189</v>
      </c>
      <c r="C29" s="70" t="str">
        <f>C28</f>
        <v>C48</v>
      </c>
      <c r="D29" s="70"/>
      <c r="E29" s="3">
        <f>E28+1</f>
        <v>2</v>
      </c>
      <c r="F29" s="15">
        <f>F28</f>
        <v>129.1875</v>
      </c>
      <c r="G29" s="15">
        <v>12</v>
      </c>
      <c r="H29" s="15">
        <f t="shared" ref="H29:H35" si="1">F29-G29</f>
        <v>117.1875</v>
      </c>
      <c r="I29" s="4" t="s">
        <v>20</v>
      </c>
      <c r="K29" s="3">
        <v>44</v>
      </c>
    </row>
    <row r="30" spans="1:11" x14ac:dyDescent="0.25">
      <c r="A30" t="s">
        <v>23</v>
      </c>
      <c r="B30" t="s">
        <v>189</v>
      </c>
      <c r="C30" s="70" t="str">
        <f t="shared" ref="C30:C35" si="2">C29</f>
        <v>C48</v>
      </c>
      <c r="D30" s="70"/>
      <c r="E30" s="3">
        <f t="shared" ref="E30:E35" si="3">E29+1</f>
        <v>3</v>
      </c>
      <c r="F30" s="15">
        <f t="shared" ref="F30:F35" si="4">F29</f>
        <v>129.1875</v>
      </c>
      <c r="G30" s="15">
        <v>12</v>
      </c>
      <c r="H30" s="15">
        <f t="shared" si="1"/>
        <v>117.1875</v>
      </c>
      <c r="I30" s="4" t="s">
        <v>20</v>
      </c>
      <c r="K30" s="3">
        <v>34.299999999999997</v>
      </c>
    </row>
    <row r="31" spans="1:11" x14ac:dyDescent="0.25">
      <c r="A31" t="s">
        <v>23</v>
      </c>
      <c r="B31" t="s">
        <v>189</v>
      </c>
      <c r="C31" s="70" t="str">
        <f t="shared" si="2"/>
        <v>C48</v>
      </c>
      <c r="D31" s="70"/>
      <c r="E31" s="3">
        <f t="shared" si="3"/>
        <v>4</v>
      </c>
      <c r="F31" s="15">
        <f t="shared" si="4"/>
        <v>129.1875</v>
      </c>
      <c r="G31" s="15">
        <v>10.9</v>
      </c>
      <c r="H31" s="15">
        <f t="shared" si="1"/>
        <v>118.28749999999999</v>
      </c>
      <c r="I31" s="4" t="s">
        <v>20</v>
      </c>
      <c r="K31" s="3">
        <v>27.3</v>
      </c>
    </row>
    <row r="32" spans="1:11" x14ac:dyDescent="0.25">
      <c r="A32" t="s">
        <v>23</v>
      </c>
      <c r="B32" t="s">
        <v>189</v>
      </c>
      <c r="C32" s="70" t="str">
        <f t="shared" si="2"/>
        <v>C48</v>
      </c>
      <c r="D32" s="70"/>
      <c r="E32" s="3">
        <f t="shared" si="3"/>
        <v>5</v>
      </c>
      <c r="F32" s="15">
        <f t="shared" si="4"/>
        <v>129.1875</v>
      </c>
      <c r="G32" s="15">
        <v>12</v>
      </c>
      <c r="H32" s="15">
        <f t="shared" si="1"/>
        <v>117.1875</v>
      </c>
      <c r="I32" s="4" t="s">
        <v>20</v>
      </c>
      <c r="K32" s="3">
        <v>37.299999999999997</v>
      </c>
    </row>
    <row r="33" spans="1:11" x14ac:dyDescent="0.25">
      <c r="A33" t="s">
        <v>23</v>
      </c>
      <c r="B33" t="s">
        <v>189</v>
      </c>
      <c r="C33" s="70" t="str">
        <f t="shared" si="2"/>
        <v>C48</v>
      </c>
      <c r="D33" s="70"/>
      <c r="E33" s="3">
        <f t="shared" si="3"/>
        <v>6</v>
      </c>
      <c r="F33" s="15">
        <f t="shared" si="4"/>
        <v>129.1875</v>
      </c>
      <c r="G33" s="15">
        <v>11.9</v>
      </c>
      <c r="H33" s="15">
        <f t="shared" si="1"/>
        <v>117.28749999999999</v>
      </c>
      <c r="I33" s="4" t="s">
        <v>20</v>
      </c>
      <c r="K33" s="3">
        <v>40.1</v>
      </c>
    </row>
    <row r="34" spans="1:11" x14ac:dyDescent="0.25">
      <c r="A34" t="s">
        <v>23</v>
      </c>
      <c r="B34" t="s">
        <v>189</v>
      </c>
      <c r="C34" s="70" t="str">
        <f t="shared" si="2"/>
        <v>C48</v>
      </c>
      <c r="D34" s="70"/>
      <c r="E34" s="3">
        <f t="shared" si="3"/>
        <v>7</v>
      </c>
      <c r="F34" s="15">
        <f t="shared" si="4"/>
        <v>129.1875</v>
      </c>
      <c r="G34" s="15">
        <v>11.8</v>
      </c>
      <c r="H34" s="15">
        <f t="shared" si="1"/>
        <v>117.3875</v>
      </c>
      <c r="I34" s="4" t="s">
        <v>20</v>
      </c>
      <c r="K34" s="3">
        <f>SUM(K28:K33)</f>
        <v>217.70000000000002</v>
      </c>
    </row>
    <row r="35" spans="1:11" ht="15.75" thickBot="1" x14ac:dyDescent="0.3">
      <c r="A35" t="s">
        <v>23</v>
      </c>
      <c r="B35" t="s">
        <v>189</v>
      </c>
      <c r="C35" s="70" t="str">
        <f t="shared" si="2"/>
        <v>C48</v>
      </c>
      <c r="D35" s="70"/>
      <c r="E35" s="3">
        <f t="shared" si="3"/>
        <v>8</v>
      </c>
      <c r="F35" s="15">
        <f t="shared" si="4"/>
        <v>129.1875</v>
      </c>
      <c r="G35" s="15">
        <v>11.7</v>
      </c>
      <c r="H35" s="15">
        <f t="shared" si="1"/>
        <v>117.4875</v>
      </c>
      <c r="I35" s="4" t="s">
        <v>20</v>
      </c>
    </row>
    <row r="36" spans="1:11" ht="16.5" thickTop="1" thickBot="1" x14ac:dyDescent="0.3">
      <c r="A36" s="75" t="s">
        <v>27</v>
      </c>
      <c r="B36" s="75"/>
      <c r="C36" s="75"/>
      <c r="D36" s="75"/>
      <c r="E36" s="12">
        <f>E35</f>
        <v>8</v>
      </c>
      <c r="F36" s="14">
        <f>SUM(F28:F35)</f>
        <v>1033.5</v>
      </c>
      <c r="G36" s="14">
        <f>SUM(G28:G35)</f>
        <v>94.2</v>
      </c>
      <c r="H36" s="14">
        <f>SUM(H28:H35)</f>
        <v>939.30000000000007</v>
      </c>
      <c r="I36" s="13"/>
    </row>
    <row r="37" spans="1:11" ht="6.75" customHeight="1" thickTop="1" x14ac:dyDescent="0.25"/>
    <row r="38" spans="1:11" ht="15.75" thickBot="1" x14ac:dyDescent="0.3">
      <c r="A38" s="1" t="s">
        <v>29</v>
      </c>
    </row>
    <row r="39" spans="1:11" s="3" customFormat="1" ht="30" customHeight="1" thickTop="1" thickBot="1" x14ac:dyDescent="0.3">
      <c r="A39" s="10" t="s">
        <v>7</v>
      </c>
      <c r="B39" s="10" t="s">
        <v>2</v>
      </c>
      <c r="C39" s="73" t="s">
        <v>6</v>
      </c>
      <c r="D39" s="73"/>
      <c r="E39" s="11" t="s">
        <v>30</v>
      </c>
      <c r="F39" s="11" t="s">
        <v>31</v>
      </c>
      <c r="G39" s="11" t="s">
        <v>32</v>
      </c>
      <c r="H39" s="11" t="s">
        <v>33</v>
      </c>
      <c r="I39" s="11" t="s">
        <v>37</v>
      </c>
    </row>
    <row r="40" spans="1:11" ht="16.5" thickTop="1" thickBot="1" x14ac:dyDescent="0.3">
      <c r="A40" t="s">
        <v>23</v>
      </c>
      <c r="B40" t="str">
        <f>B35</f>
        <v>TEMANGGUNG FN504</v>
      </c>
      <c r="C40" s="76" t="str">
        <f>C35</f>
        <v>C48</v>
      </c>
      <c r="D40" s="76"/>
      <c r="E40" s="15">
        <v>600</v>
      </c>
      <c r="F40" s="15">
        <f>K34+K40</f>
        <v>245.60000000000002</v>
      </c>
      <c r="G40" s="15">
        <v>15.1</v>
      </c>
      <c r="H40" s="15">
        <f>IF(E40="","",(H36-E40-F40-G40))</f>
        <v>78.600000000000051</v>
      </c>
      <c r="I40" s="15">
        <f>IF(E40="","",SUM(E40:H40))</f>
        <v>939.30000000000007</v>
      </c>
      <c r="K40" s="3">
        <v>27.9</v>
      </c>
    </row>
    <row r="41" spans="1:11" ht="16.5" thickTop="1" thickBot="1" x14ac:dyDescent="0.3">
      <c r="A41" s="77" t="s">
        <v>52</v>
      </c>
      <c r="B41" s="77"/>
      <c r="C41" s="77"/>
      <c r="D41" s="77"/>
      <c r="E41" s="20">
        <f>IF(E40="","",E40/$H36)</f>
        <v>0.63877355477483233</v>
      </c>
      <c r="F41" s="32">
        <f>IF(F40="","",F40/$H36)</f>
        <v>0.26147130842116473</v>
      </c>
      <c r="G41" s="32">
        <f t="shared" ref="G41:H41" si="5">IF(G40="","",G40/$H36)</f>
        <v>1.6075801128499944E-2</v>
      </c>
      <c r="H41" s="32">
        <f t="shared" si="5"/>
        <v>8.3679335675503078E-2</v>
      </c>
      <c r="I41" s="17">
        <f>IF(I40="","",SUM(E41:H41))</f>
        <v>1</v>
      </c>
    </row>
    <row r="42" spans="1:11" ht="15.75" thickTop="1" x14ac:dyDescent="0.25">
      <c r="A42" s="19" t="s">
        <v>16</v>
      </c>
    </row>
    <row r="43" spans="1:11" ht="10.5" customHeight="1" x14ac:dyDescent="0.25">
      <c r="A43" s="7" t="s">
        <v>48</v>
      </c>
    </row>
    <row r="44" spans="1:11" ht="10.5" customHeight="1" x14ac:dyDescent="0.25">
      <c r="A44" s="7" t="s">
        <v>35</v>
      </c>
    </row>
    <row r="45" spans="1:11" ht="10.5" customHeight="1" x14ac:dyDescent="0.25">
      <c r="A45" s="7" t="s">
        <v>34</v>
      </c>
    </row>
    <row r="46" spans="1:11" ht="10.5" customHeight="1" x14ac:dyDescent="0.25">
      <c r="A46" s="7" t="s">
        <v>50</v>
      </c>
    </row>
    <row r="47" spans="1:11" ht="8.25" customHeight="1" x14ac:dyDescent="0.25"/>
    <row r="48" spans="1:11" ht="15.75" thickBot="1" x14ac:dyDescent="0.3">
      <c r="A48" s="1" t="s">
        <v>186</v>
      </c>
      <c r="B48" s="1"/>
      <c r="C48" s="1"/>
    </row>
    <row r="49" spans="1:13" s="3" customFormat="1" ht="16.5" thickTop="1" thickBot="1" x14ac:dyDescent="0.3">
      <c r="A49" s="10" t="s">
        <v>7</v>
      </c>
      <c r="B49" s="10" t="s">
        <v>2</v>
      </c>
      <c r="C49" s="73" t="s">
        <v>6</v>
      </c>
      <c r="D49" s="73"/>
      <c r="E49" s="10" t="s">
        <v>25</v>
      </c>
      <c r="F49" s="10" t="s">
        <v>3</v>
      </c>
      <c r="G49" s="10" t="s">
        <v>4</v>
      </c>
      <c r="H49" s="10" t="s">
        <v>5</v>
      </c>
      <c r="I49" s="11" t="s">
        <v>26</v>
      </c>
      <c r="K49" s="3" t="s">
        <v>194</v>
      </c>
      <c r="L49" s="3" t="s">
        <v>195</v>
      </c>
      <c r="M49" s="3" t="s">
        <v>196</v>
      </c>
    </row>
    <row r="50" spans="1:13" ht="15.75" thickTop="1" x14ac:dyDescent="0.25">
      <c r="A50" t="s">
        <v>23</v>
      </c>
      <c r="B50" t="s">
        <v>83</v>
      </c>
      <c r="C50" s="74" t="s">
        <v>22</v>
      </c>
      <c r="D50" s="74"/>
      <c r="E50" s="3">
        <v>1</v>
      </c>
      <c r="F50" s="15">
        <v>36.5</v>
      </c>
      <c r="G50" s="15">
        <v>1</v>
      </c>
      <c r="H50" s="15">
        <f>F50-G50</f>
        <v>35.5</v>
      </c>
      <c r="I50" s="4" t="s">
        <v>20</v>
      </c>
      <c r="K50" s="3">
        <v>21.1</v>
      </c>
      <c r="L50" s="3">
        <v>23</v>
      </c>
      <c r="M50" s="3">
        <v>4</v>
      </c>
    </row>
    <row r="51" spans="1:13" x14ac:dyDescent="0.25">
      <c r="A51" t="s">
        <v>23</v>
      </c>
      <c r="B51" t="str">
        <f>B50</f>
        <v>KASTURI</v>
      </c>
      <c r="C51" s="70" t="s">
        <v>22</v>
      </c>
      <c r="D51" s="70"/>
      <c r="E51" s="3">
        <f>E50+1</f>
        <v>2</v>
      </c>
      <c r="F51" s="15">
        <v>37.9</v>
      </c>
      <c r="G51" s="15">
        <v>1</v>
      </c>
      <c r="H51" s="15">
        <f t="shared" ref="H51:H80" si="6">F51-G51</f>
        <v>36.9</v>
      </c>
      <c r="I51" s="4" t="s">
        <v>20</v>
      </c>
      <c r="K51" s="3">
        <v>21.3</v>
      </c>
      <c r="L51" s="3">
        <v>11</v>
      </c>
    </row>
    <row r="52" spans="1:13" x14ac:dyDescent="0.25">
      <c r="A52" t="s">
        <v>23</v>
      </c>
      <c r="B52" t="str">
        <f t="shared" ref="B52:B80" si="7">B51</f>
        <v>KASTURI</v>
      </c>
      <c r="C52" s="70" t="s">
        <v>22</v>
      </c>
      <c r="D52" s="70"/>
      <c r="E52" s="3">
        <f t="shared" ref="E52:E80" si="8">E51+1</f>
        <v>3</v>
      </c>
      <c r="F52" s="15">
        <v>39.4</v>
      </c>
      <c r="G52" s="15">
        <v>1</v>
      </c>
      <c r="H52" s="15">
        <f t="shared" si="6"/>
        <v>38.4</v>
      </c>
      <c r="I52" s="4" t="s">
        <v>20</v>
      </c>
      <c r="K52" s="3">
        <v>21.2</v>
      </c>
    </row>
    <row r="53" spans="1:13" x14ac:dyDescent="0.25">
      <c r="A53" t="s">
        <v>23</v>
      </c>
      <c r="B53" t="str">
        <f t="shared" si="7"/>
        <v>KASTURI</v>
      </c>
      <c r="C53" s="70" t="s">
        <v>22</v>
      </c>
      <c r="D53" s="70"/>
      <c r="E53" s="3">
        <f t="shared" si="8"/>
        <v>4</v>
      </c>
      <c r="F53" s="15">
        <v>42.7</v>
      </c>
      <c r="G53" s="15">
        <v>1.2</v>
      </c>
      <c r="H53" s="15">
        <f t="shared" si="6"/>
        <v>41.5</v>
      </c>
      <c r="I53" s="4" t="s">
        <v>20</v>
      </c>
      <c r="K53" s="3">
        <v>21.7</v>
      </c>
    </row>
    <row r="54" spans="1:13" x14ac:dyDescent="0.25">
      <c r="A54" t="s">
        <v>23</v>
      </c>
      <c r="B54" t="str">
        <f t="shared" si="7"/>
        <v>KASTURI</v>
      </c>
      <c r="C54" s="70" t="s">
        <v>22</v>
      </c>
      <c r="D54" s="70"/>
      <c r="E54" s="3">
        <f t="shared" si="8"/>
        <v>5</v>
      </c>
      <c r="F54" s="15">
        <v>41.4</v>
      </c>
      <c r="G54" s="15">
        <v>1</v>
      </c>
      <c r="H54" s="15">
        <f t="shared" si="6"/>
        <v>40.4</v>
      </c>
      <c r="I54" s="4" t="s">
        <v>20</v>
      </c>
      <c r="K54" s="3">
        <v>17.899999999999999</v>
      </c>
    </row>
    <row r="55" spans="1:13" x14ac:dyDescent="0.25">
      <c r="A55" t="s">
        <v>23</v>
      </c>
      <c r="B55" t="str">
        <f t="shared" si="7"/>
        <v>KASTURI</v>
      </c>
      <c r="C55" s="70" t="s">
        <v>22</v>
      </c>
      <c r="D55" s="70"/>
      <c r="E55" s="3">
        <f t="shared" si="8"/>
        <v>6</v>
      </c>
      <c r="F55" s="15">
        <v>44.6</v>
      </c>
      <c r="G55" s="15">
        <v>1.1000000000000001</v>
      </c>
      <c r="H55" s="15">
        <f t="shared" si="6"/>
        <v>43.5</v>
      </c>
      <c r="I55" s="4" t="s">
        <v>20</v>
      </c>
      <c r="K55" s="3">
        <v>27.4</v>
      </c>
    </row>
    <row r="56" spans="1:13" x14ac:dyDescent="0.25">
      <c r="A56" t="s">
        <v>23</v>
      </c>
      <c r="B56" t="str">
        <f t="shared" si="7"/>
        <v>KASTURI</v>
      </c>
      <c r="C56" s="70" t="s">
        <v>22</v>
      </c>
      <c r="D56" s="70"/>
      <c r="E56" s="3">
        <f t="shared" si="8"/>
        <v>7</v>
      </c>
      <c r="F56" s="15">
        <v>41.6</v>
      </c>
      <c r="G56" s="15">
        <v>1.2</v>
      </c>
      <c r="H56" s="15">
        <f t="shared" si="6"/>
        <v>40.4</v>
      </c>
      <c r="I56" s="4" t="s">
        <v>20</v>
      </c>
      <c r="K56" s="3">
        <v>24.8</v>
      </c>
    </row>
    <row r="57" spans="1:13" x14ac:dyDescent="0.25">
      <c r="A57" t="s">
        <v>23</v>
      </c>
      <c r="B57" t="str">
        <f t="shared" si="7"/>
        <v>KASTURI</v>
      </c>
      <c r="C57" s="70" t="s">
        <v>22</v>
      </c>
      <c r="D57" s="70"/>
      <c r="E57" s="3">
        <f t="shared" si="8"/>
        <v>8</v>
      </c>
      <c r="F57" s="15">
        <v>39.799999999999997</v>
      </c>
      <c r="G57" s="15">
        <v>1.1000000000000001</v>
      </c>
      <c r="H57" s="15">
        <f t="shared" si="6"/>
        <v>38.699999999999996</v>
      </c>
      <c r="I57" s="4" t="s">
        <v>20</v>
      </c>
      <c r="K57" s="3">
        <v>27</v>
      </c>
    </row>
    <row r="58" spans="1:13" x14ac:dyDescent="0.25">
      <c r="A58" t="s">
        <v>23</v>
      </c>
      <c r="B58" t="str">
        <f t="shared" si="7"/>
        <v>KASTURI</v>
      </c>
      <c r="C58" s="70" t="s">
        <v>22</v>
      </c>
      <c r="D58" s="70"/>
      <c r="E58" s="3">
        <f t="shared" si="8"/>
        <v>9</v>
      </c>
      <c r="F58" s="15">
        <v>40.1</v>
      </c>
      <c r="G58" s="15">
        <v>0.8</v>
      </c>
      <c r="H58" s="15">
        <f t="shared" si="6"/>
        <v>39.300000000000004</v>
      </c>
      <c r="I58" s="4" t="s">
        <v>20</v>
      </c>
      <c r="K58" s="3">
        <v>23.2</v>
      </c>
    </row>
    <row r="59" spans="1:13" x14ac:dyDescent="0.25">
      <c r="A59" t="s">
        <v>23</v>
      </c>
      <c r="B59" t="str">
        <f t="shared" si="7"/>
        <v>KASTURI</v>
      </c>
      <c r="C59" s="70" t="s">
        <v>22</v>
      </c>
      <c r="D59" s="70"/>
      <c r="E59" s="3">
        <f t="shared" si="8"/>
        <v>10</v>
      </c>
      <c r="F59" s="15">
        <v>44.8</v>
      </c>
      <c r="G59" s="15">
        <v>0.9</v>
      </c>
      <c r="H59" s="15">
        <f t="shared" si="6"/>
        <v>43.9</v>
      </c>
      <c r="I59" s="4" t="s">
        <v>20</v>
      </c>
      <c r="K59" s="3">
        <v>20.6</v>
      </c>
    </row>
    <row r="60" spans="1:13" x14ac:dyDescent="0.25">
      <c r="A60" t="s">
        <v>23</v>
      </c>
      <c r="B60" t="str">
        <f t="shared" si="7"/>
        <v>KASTURI</v>
      </c>
      <c r="C60" s="70" t="s">
        <v>22</v>
      </c>
      <c r="D60" s="70"/>
      <c r="E60" s="3">
        <f t="shared" si="8"/>
        <v>11</v>
      </c>
      <c r="F60" s="15">
        <v>39.200000000000003</v>
      </c>
      <c r="G60" s="15">
        <v>1</v>
      </c>
      <c r="H60" s="15">
        <f t="shared" si="6"/>
        <v>38.200000000000003</v>
      </c>
      <c r="I60" s="4" t="s">
        <v>20</v>
      </c>
      <c r="K60" s="3">
        <v>23.9</v>
      </c>
    </row>
    <row r="61" spans="1:13" x14ac:dyDescent="0.25">
      <c r="A61" t="s">
        <v>23</v>
      </c>
      <c r="B61" t="str">
        <f t="shared" si="7"/>
        <v>KASTURI</v>
      </c>
      <c r="C61" s="70" t="s">
        <v>22</v>
      </c>
      <c r="D61" s="70"/>
      <c r="E61" s="3">
        <f t="shared" si="8"/>
        <v>12</v>
      </c>
      <c r="F61" s="15">
        <v>41.6</v>
      </c>
      <c r="G61" s="15">
        <v>1</v>
      </c>
      <c r="H61" s="15">
        <f t="shared" si="6"/>
        <v>40.6</v>
      </c>
      <c r="I61" s="4" t="s">
        <v>20</v>
      </c>
      <c r="K61" s="3">
        <v>25.3</v>
      </c>
    </row>
    <row r="62" spans="1:13" x14ac:dyDescent="0.25">
      <c r="A62" t="s">
        <v>23</v>
      </c>
      <c r="B62" t="str">
        <f t="shared" si="7"/>
        <v>KASTURI</v>
      </c>
      <c r="C62" s="70" t="s">
        <v>22</v>
      </c>
      <c r="D62" s="70"/>
      <c r="E62" s="3">
        <f t="shared" si="8"/>
        <v>13</v>
      </c>
      <c r="F62" s="15">
        <v>45.8</v>
      </c>
      <c r="G62" s="15">
        <v>0.9</v>
      </c>
      <c r="H62" s="15">
        <f t="shared" si="6"/>
        <v>44.9</v>
      </c>
      <c r="I62" s="4" t="s">
        <v>20</v>
      </c>
      <c r="K62" s="3">
        <v>24.9</v>
      </c>
    </row>
    <row r="63" spans="1:13" x14ac:dyDescent="0.25">
      <c r="A63" t="s">
        <v>23</v>
      </c>
      <c r="B63" t="str">
        <f t="shared" si="7"/>
        <v>KASTURI</v>
      </c>
      <c r="C63" s="70" t="s">
        <v>22</v>
      </c>
      <c r="D63" s="70"/>
      <c r="E63" s="3">
        <f t="shared" si="8"/>
        <v>14</v>
      </c>
      <c r="F63" s="15">
        <v>42.7</v>
      </c>
      <c r="G63" s="15">
        <v>1</v>
      </c>
      <c r="H63" s="15">
        <f t="shared" si="6"/>
        <v>41.7</v>
      </c>
      <c r="I63" s="4" t="s">
        <v>20</v>
      </c>
      <c r="K63" s="3">
        <v>25.6</v>
      </c>
    </row>
    <row r="64" spans="1:13" x14ac:dyDescent="0.25">
      <c r="A64" t="s">
        <v>23</v>
      </c>
      <c r="B64" t="str">
        <f t="shared" si="7"/>
        <v>KASTURI</v>
      </c>
      <c r="C64" s="70" t="s">
        <v>22</v>
      </c>
      <c r="D64" s="70"/>
      <c r="E64" s="3">
        <f t="shared" si="8"/>
        <v>15</v>
      </c>
      <c r="F64" s="15">
        <v>43.7</v>
      </c>
      <c r="G64" s="15">
        <v>0.8</v>
      </c>
      <c r="H64" s="15">
        <f t="shared" si="6"/>
        <v>42.900000000000006</v>
      </c>
      <c r="I64" s="4" t="s">
        <v>20</v>
      </c>
      <c r="K64" s="3">
        <v>11.6</v>
      </c>
    </row>
    <row r="65" spans="1:11" x14ac:dyDescent="0.25">
      <c r="A65" t="s">
        <v>23</v>
      </c>
      <c r="B65" t="str">
        <f t="shared" si="7"/>
        <v>KASTURI</v>
      </c>
      <c r="C65" s="70" t="s">
        <v>22</v>
      </c>
      <c r="D65" s="70"/>
      <c r="E65" s="3">
        <f t="shared" si="8"/>
        <v>16</v>
      </c>
      <c r="F65" s="15">
        <v>35.700000000000003</v>
      </c>
      <c r="G65" s="15">
        <v>1</v>
      </c>
      <c r="H65" s="15">
        <f t="shared" si="6"/>
        <v>34.700000000000003</v>
      </c>
      <c r="I65" s="4" t="s">
        <v>20</v>
      </c>
      <c r="K65" s="3">
        <f>SUM(K50:K64)</f>
        <v>337.50000000000006</v>
      </c>
    </row>
    <row r="66" spans="1:11" x14ac:dyDescent="0.25">
      <c r="A66" t="s">
        <v>23</v>
      </c>
      <c r="B66" t="str">
        <f t="shared" si="7"/>
        <v>KASTURI</v>
      </c>
      <c r="C66" s="70" t="s">
        <v>22</v>
      </c>
      <c r="D66" s="70"/>
      <c r="E66" s="3">
        <f t="shared" si="8"/>
        <v>17</v>
      </c>
      <c r="F66" s="15">
        <v>41.4</v>
      </c>
      <c r="G66" s="15">
        <v>1.1000000000000001</v>
      </c>
      <c r="H66" s="15">
        <f t="shared" si="6"/>
        <v>40.299999999999997</v>
      </c>
      <c r="I66" s="4" t="s">
        <v>20</v>
      </c>
    </row>
    <row r="67" spans="1:11" x14ac:dyDescent="0.25">
      <c r="A67" t="s">
        <v>23</v>
      </c>
      <c r="B67" t="str">
        <f t="shared" si="7"/>
        <v>KASTURI</v>
      </c>
      <c r="C67" s="70" t="s">
        <v>22</v>
      </c>
      <c r="D67" s="70"/>
      <c r="E67" s="3">
        <f t="shared" si="8"/>
        <v>18</v>
      </c>
      <c r="F67" s="15">
        <v>40.700000000000003</v>
      </c>
      <c r="G67" s="15">
        <v>1</v>
      </c>
      <c r="H67" s="15">
        <f>F67-G67</f>
        <v>39.700000000000003</v>
      </c>
      <c r="I67" s="4" t="s">
        <v>20</v>
      </c>
    </row>
    <row r="68" spans="1:11" x14ac:dyDescent="0.25">
      <c r="A68" t="s">
        <v>23</v>
      </c>
      <c r="B68" t="str">
        <f t="shared" si="7"/>
        <v>KASTURI</v>
      </c>
      <c r="C68" s="70" t="s">
        <v>22</v>
      </c>
      <c r="D68" s="70"/>
      <c r="E68" s="3">
        <f t="shared" si="8"/>
        <v>19</v>
      </c>
      <c r="F68" s="15">
        <v>38.299999999999997</v>
      </c>
      <c r="G68" s="15">
        <v>1</v>
      </c>
      <c r="H68" s="15">
        <f t="shared" si="6"/>
        <v>37.299999999999997</v>
      </c>
      <c r="I68" s="4" t="s">
        <v>20</v>
      </c>
    </row>
    <row r="69" spans="1:11" x14ac:dyDescent="0.25">
      <c r="A69" t="s">
        <v>23</v>
      </c>
      <c r="B69" t="str">
        <f t="shared" si="7"/>
        <v>KASTURI</v>
      </c>
      <c r="C69" s="70" t="s">
        <v>22</v>
      </c>
      <c r="D69" s="70"/>
      <c r="E69" s="3">
        <f t="shared" si="8"/>
        <v>20</v>
      </c>
      <c r="F69" s="15">
        <v>37.799999999999997</v>
      </c>
      <c r="G69" s="15">
        <v>1</v>
      </c>
      <c r="H69" s="15">
        <f t="shared" si="6"/>
        <v>36.799999999999997</v>
      </c>
      <c r="I69" s="4" t="s">
        <v>20</v>
      </c>
    </row>
    <row r="70" spans="1:11" x14ac:dyDescent="0.25">
      <c r="A70" t="s">
        <v>23</v>
      </c>
      <c r="B70" t="str">
        <f t="shared" si="7"/>
        <v>KASTURI</v>
      </c>
      <c r="C70" s="70" t="s">
        <v>22</v>
      </c>
      <c r="D70" s="70"/>
      <c r="E70" s="3">
        <f t="shared" si="8"/>
        <v>21</v>
      </c>
      <c r="F70" s="15">
        <v>43.7</v>
      </c>
      <c r="G70" s="15">
        <v>0.9</v>
      </c>
      <c r="H70" s="15">
        <f t="shared" si="6"/>
        <v>42.800000000000004</v>
      </c>
      <c r="I70" s="4" t="s">
        <v>20</v>
      </c>
    </row>
    <row r="71" spans="1:11" x14ac:dyDescent="0.25">
      <c r="A71" t="s">
        <v>23</v>
      </c>
      <c r="B71" t="str">
        <f t="shared" si="7"/>
        <v>KASTURI</v>
      </c>
      <c r="C71" s="70" t="s">
        <v>22</v>
      </c>
      <c r="D71" s="70"/>
      <c r="E71" s="3">
        <f t="shared" si="8"/>
        <v>22</v>
      </c>
      <c r="F71" s="15">
        <v>41.2</v>
      </c>
      <c r="G71" s="15">
        <v>1</v>
      </c>
      <c r="H71" s="15">
        <f t="shared" si="6"/>
        <v>40.200000000000003</v>
      </c>
      <c r="I71" s="4" t="s">
        <v>20</v>
      </c>
    </row>
    <row r="72" spans="1:11" x14ac:dyDescent="0.25">
      <c r="A72" t="s">
        <v>23</v>
      </c>
      <c r="B72" t="str">
        <f t="shared" si="7"/>
        <v>KASTURI</v>
      </c>
      <c r="C72" s="70" t="s">
        <v>22</v>
      </c>
      <c r="D72" s="70"/>
      <c r="E72" s="3">
        <f t="shared" si="8"/>
        <v>23</v>
      </c>
      <c r="F72" s="15">
        <v>38.5</v>
      </c>
      <c r="G72" s="15">
        <v>1</v>
      </c>
      <c r="H72" s="15">
        <f t="shared" si="6"/>
        <v>37.5</v>
      </c>
      <c r="I72" s="4" t="s">
        <v>20</v>
      </c>
    </row>
    <row r="73" spans="1:11" x14ac:dyDescent="0.25">
      <c r="A73" t="s">
        <v>23</v>
      </c>
      <c r="B73" t="str">
        <f t="shared" si="7"/>
        <v>KASTURI</v>
      </c>
      <c r="C73" s="70" t="s">
        <v>22</v>
      </c>
      <c r="D73" s="70"/>
      <c r="E73" s="3">
        <f t="shared" si="8"/>
        <v>24</v>
      </c>
      <c r="F73" s="15">
        <v>39</v>
      </c>
      <c r="G73" s="15">
        <v>0.9</v>
      </c>
      <c r="H73" s="15">
        <f t="shared" si="6"/>
        <v>38.1</v>
      </c>
      <c r="I73" s="4" t="s">
        <v>20</v>
      </c>
    </row>
    <row r="74" spans="1:11" x14ac:dyDescent="0.25">
      <c r="A74" t="s">
        <v>23</v>
      </c>
      <c r="B74" t="str">
        <f t="shared" si="7"/>
        <v>KASTURI</v>
      </c>
      <c r="C74" s="70" t="s">
        <v>22</v>
      </c>
      <c r="D74" s="70"/>
      <c r="E74" s="3">
        <f t="shared" si="8"/>
        <v>25</v>
      </c>
      <c r="F74" s="15">
        <v>38</v>
      </c>
      <c r="G74" s="15">
        <v>0.9</v>
      </c>
      <c r="H74" s="15">
        <f t="shared" si="6"/>
        <v>37.1</v>
      </c>
      <c r="I74" s="4" t="s">
        <v>20</v>
      </c>
    </row>
    <row r="75" spans="1:11" x14ac:dyDescent="0.25">
      <c r="A75" t="s">
        <v>23</v>
      </c>
      <c r="B75" t="str">
        <f t="shared" si="7"/>
        <v>KASTURI</v>
      </c>
      <c r="C75" s="70" t="s">
        <v>22</v>
      </c>
      <c r="D75" s="70"/>
      <c r="E75" s="3">
        <f t="shared" si="8"/>
        <v>26</v>
      </c>
      <c r="F75" s="15">
        <v>48.6</v>
      </c>
      <c r="G75" s="15">
        <v>1.3</v>
      </c>
      <c r="H75" s="15">
        <f t="shared" si="6"/>
        <v>47.300000000000004</v>
      </c>
      <c r="I75" s="4" t="s">
        <v>20</v>
      </c>
    </row>
    <row r="76" spans="1:11" x14ac:dyDescent="0.25">
      <c r="A76" t="s">
        <v>23</v>
      </c>
      <c r="B76" t="str">
        <f t="shared" si="7"/>
        <v>KASTURI</v>
      </c>
      <c r="C76" s="70" t="s">
        <v>22</v>
      </c>
      <c r="D76" s="70"/>
      <c r="E76" s="3">
        <f t="shared" si="8"/>
        <v>27</v>
      </c>
      <c r="F76" s="15">
        <v>42.7</v>
      </c>
      <c r="G76" s="15">
        <v>1.3</v>
      </c>
      <c r="H76" s="15">
        <f t="shared" si="6"/>
        <v>41.400000000000006</v>
      </c>
      <c r="I76" s="4" t="s">
        <v>20</v>
      </c>
    </row>
    <row r="77" spans="1:11" x14ac:dyDescent="0.25">
      <c r="A77" t="s">
        <v>23</v>
      </c>
      <c r="B77" t="str">
        <f t="shared" si="7"/>
        <v>KASTURI</v>
      </c>
      <c r="C77" s="70" t="s">
        <v>22</v>
      </c>
      <c r="D77" s="70"/>
      <c r="E77" s="3">
        <f t="shared" si="8"/>
        <v>28</v>
      </c>
      <c r="F77" s="15">
        <v>40.6</v>
      </c>
      <c r="G77" s="15">
        <v>0.9</v>
      </c>
      <c r="H77" s="15">
        <f>F77-G77</f>
        <v>39.700000000000003</v>
      </c>
      <c r="I77" s="4" t="s">
        <v>20</v>
      </c>
    </row>
    <row r="78" spans="1:11" x14ac:dyDescent="0.25">
      <c r="A78" t="s">
        <v>23</v>
      </c>
      <c r="B78" t="str">
        <f t="shared" si="7"/>
        <v>KASTURI</v>
      </c>
      <c r="C78" s="70" t="s">
        <v>22</v>
      </c>
      <c r="D78" s="70"/>
      <c r="E78" s="3">
        <f t="shared" si="8"/>
        <v>29</v>
      </c>
      <c r="F78" s="15">
        <v>47.1</v>
      </c>
      <c r="G78" s="15">
        <v>1.3</v>
      </c>
      <c r="H78" s="15">
        <f t="shared" si="6"/>
        <v>45.800000000000004</v>
      </c>
      <c r="I78" s="4" t="s">
        <v>20</v>
      </c>
    </row>
    <row r="79" spans="1:11" x14ac:dyDescent="0.25">
      <c r="A79" t="s">
        <v>23</v>
      </c>
      <c r="B79" t="str">
        <f t="shared" si="7"/>
        <v>KASTURI</v>
      </c>
      <c r="C79" s="70" t="s">
        <v>22</v>
      </c>
      <c r="D79" s="70"/>
      <c r="E79" s="3">
        <f t="shared" si="8"/>
        <v>30</v>
      </c>
      <c r="F79" s="15">
        <v>36.4</v>
      </c>
      <c r="G79" s="15">
        <v>1.1000000000000001</v>
      </c>
      <c r="H79" s="15">
        <f t="shared" si="6"/>
        <v>35.299999999999997</v>
      </c>
      <c r="I79" s="4" t="s">
        <v>20</v>
      </c>
    </row>
    <row r="80" spans="1:11" ht="15.75" thickBot="1" x14ac:dyDescent="0.3">
      <c r="A80" t="s">
        <v>23</v>
      </c>
      <c r="B80" t="str">
        <f t="shared" si="7"/>
        <v>KASTURI</v>
      </c>
      <c r="C80" s="70" t="s">
        <v>22</v>
      </c>
      <c r="D80" s="70"/>
      <c r="E80" s="3">
        <f t="shared" si="8"/>
        <v>31</v>
      </c>
      <c r="F80" s="15">
        <v>39.1</v>
      </c>
      <c r="G80" s="15">
        <v>0.9</v>
      </c>
      <c r="H80" s="15">
        <f t="shared" si="6"/>
        <v>38.200000000000003</v>
      </c>
      <c r="I80" s="4" t="s">
        <v>20</v>
      </c>
    </row>
    <row r="81" spans="1:13" ht="16.5" thickTop="1" thickBot="1" x14ac:dyDescent="0.3">
      <c r="A81" s="75" t="s">
        <v>27</v>
      </c>
      <c r="B81" s="75"/>
      <c r="C81" s="75"/>
      <c r="D81" s="75"/>
      <c r="E81" s="12">
        <f>E80</f>
        <v>31</v>
      </c>
      <c r="F81" s="14">
        <f>SUM(F50:F80)</f>
        <v>1270.6000000000001</v>
      </c>
      <c r="G81" s="14">
        <f>SUM(G50:G80)</f>
        <v>31.6</v>
      </c>
      <c r="H81" s="14">
        <f>SUM(H50:H80)</f>
        <v>1239.0000000000002</v>
      </c>
      <c r="I81" s="13"/>
    </row>
    <row r="82" spans="1:13" ht="15.75" thickTop="1" x14ac:dyDescent="0.25"/>
    <row r="83" spans="1:13" ht="15.75" thickBot="1" x14ac:dyDescent="0.3">
      <c r="A83" s="1" t="s">
        <v>29</v>
      </c>
    </row>
    <row r="84" spans="1:13" s="3" customFormat="1" ht="46.5" thickTop="1" thickBot="1" x14ac:dyDescent="0.3">
      <c r="A84" s="10" t="s">
        <v>7</v>
      </c>
      <c r="B84" s="10" t="s">
        <v>2</v>
      </c>
      <c r="C84" s="73" t="s">
        <v>6</v>
      </c>
      <c r="D84" s="73"/>
      <c r="E84" s="11" t="s">
        <v>30</v>
      </c>
      <c r="F84" s="11" t="s">
        <v>31</v>
      </c>
      <c r="G84" s="11" t="s">
        <v>32</v>
      </c>
      <c r="H84" s="11" t="s">
        <v>33</v>
      </c>
      <c r="I84" s="11" t="s">
        <v>37</v>
      </c>
    </row>
    <row r="85" spans="1:13" ht="16.5" thickTop="1" thickBot="1" x14ac:dyDescent="0.3">
      <c r="A85" t="s">
        <v>23</v>
      </c>
      <c r="B85" t="str">
        <f>B80</f>
        <v>KASTURI</v>
      </c>
      <c r="C85" s="76" t="str">
        <f>C80</f>
        <v>Ball Goni</v>
      </c>
      <c r="D85" s="76"/>
      <c r="E85" s="15">
        <v>854.7</v>
      </c>
      <c r="F85" s="15">
        <f>K65</f>
        <v>337.50000000000006</v>
      </c>
      <c r="G85" s="15">
        <v>26</v>
      </c>
      <c r="H85" s="15">
        <f>IF(E85="","",(H81-E85-F85-G85))</f>
        <v>20.800000000000125</v>
      </c>
      <c r="I85" s="15">
        <f>IF(E85="","",SUM(E85:H85))</f>
        <v>1239.0000000000002</v>
      </c>
    </row>
    <row r="86" spans="1:13" ht="16.5" thickTop="1" thickBot="1" x14ac:dyDescent="0.3">
      <c r="A86" s="77" t="s">
        <v>52</v>
      </c>
      <c r="B86" s="77"/>
      <c r="C86" s="77"/>
      <c r="D86" s="77"/>
      <c r="E86" s="20">
        <f>IF(E85="","",E85/$H81)</f>
        <v>0.68983050847457617</v>
      </c>
      <c r="F86" s="32">
        <f>IF(F85="","",F85/$H81)</f>
        <v>0.27239709443099275</v>
      </c>
      <c r="G86" s="32">
        <f t="shared" ref="G86:H86" si="9">IF(G85="","",G85/$H81)</f>
        <v>2.098466505246166E-2</v>
      </c>
      <c r="H86" s="32">
        <f t="shared" si="9"/>
        <v>1.6787732041969428E-2</v>
      </c>
      <c r="I86" s="17">
        <f>IF(I85="","",SUM(E86:H86))</f>
        <v>1</v>
      </c>
    </row>
    <row r="87" spans="1:13" ht="10.5" customHeight="1" thickTop="1" x14ac:dyDescent="0.25">
      <c r="A87" s="19" t="s">
        <v>16</v>
      </c>
    </row>
    <row r="88" spans="1:13" ht="10.5" customHeight="1" x14ac:dyDescent="0.25">
      <c r="A88" s="7" t="s">
        <v>36</v>
      </c>
    </row>
    <row r="89" spans="1:13" ht="10.5" customHeight="1" x14ac:dyDescent="0.25">
      <c r="A89" s="7" t="s">
        <v>35</v>
      </c>
    </row>
    <row r="90" spans="1:13" ht="10.5" customHeight="1" x14ac:dyDescent="0.25">
      <c r="A90" s="7" t="s">
        <v>34</v>
      </c>
    </row>
    <row r="91" spans="1:13" ht="10.5" customHeight="1" x14ac:dyDescent="0.25">
      <c r="A91" s="7" t="s">
        <v>50</v>
      </c>
    </row>
    <row r="92" spans="1:13" ht="9.9499999999999993" customHeight="1" x14ac:dyDescent="0.25"/>
    <row r="93" spans="1:13" ht="15.75" thickBot="1" x14ac:dyDescent="0.3">
      <c r="A93" s="1" t="s">
        <v>187</v>
      </c>
      <c r="B93" s="1"/>
      <c r="C93" s="1"/>
    </row>
    <row r="94" spans="1:13" ht="16.5" thickTop="1" thickBot="1" x14ac:dyDescent="0.3">
      <c r="A94" s="9" t="s">
        <v>7</v>
      </c>
      <c r="B94" s="9" t="s">
        <v>2</v>
      </c>
      <c r="C94" s="73" t="s">
        <v>6</v>
      </c>
      <c r="D94" s="73"/>
      <c r="E94" s="10" t="s">
        <v>25</v>
      </c>
      <c r="F94" s="10" t="s">
        <v>3</v>
      </c>
      <c r="G94" s="10" t="s">
        <v>4</v>
      </c>
      <c r="H94" s="10" t="s">
        <v>5</v>
      </c>
      <c r="I94" s="11" t="s">
        <v>26</v>
      </c>
      <c r="K94" s="3" t="s">
        <v>194</v>
      </c>
      <c r="M94" s="3" t="s">
        <v>196</v>
      </c>
    </row>
    <row r="95" spans="1:13" ht="15.75" thickTop="1" x14ac:dyDescent="0.25">
      <c r="A95" t="s">
        <v>23</v>
      </c>
      <c r="B95" t="s">
        <v>39</v>
      </c>
      <c r="C95" s="74" t="s">
        <v>22</v>
      </c>
      <c r="D95" s="74"/>
      <c r="E95" s="3">
        <v>1</v>
      </c>
      <c r="F95" s="15">
        <v>44.2</v>
      </c>
      <c r="G95" s="15">
        <v>1.2</v>
      </c>
      <c r="H95" s="15">
        <f>F95-G95</f>
        <v>43</v>
      </c>
      <c r="I95" s="4" t="s">
        <v>20</v>
      </c>
      <c r="K95" s="3">
        <v>25.8</v>
      </c>
      <c r="L95" s="3">
        <v>31</v>
      </c>
      <c r="M95" s="3">
        <v>2</v>
      </c>
    </row>
    <row r="96" spans="1:13" x14ac:dyDescent="0.25">
      <c r="A96" t="s">
        <v>23</v>
      </c>
      <c r="B96" t="str">
        <f>B95</f>
        <v>PAITON</v>
      </c>
      <c r="C96" s="70" t="s">
        <v>22</v>
      </c>
      <c r="D96" s="70"/>
      <c r="E96" s="3">
        <f>E95+1</f>
        <v>2</v>
      </c>
      <c r="F96" s="15">
        <v>48.4</v>
      </c>
      <c r="G96" s="15">
        <v>1</v>
      </c>
      <c r="H96" s="15">
        <f t="shared" ref="H96:H111" si="10">F96-G96</f>
        <v>47.4</v>
      </c>
      <c r="I96" s="4" t="s">
        <v>20</v>
      </c>
      <c r="K96" s="3">
        <v>27.6</v>
      </c>
      <c r="L96" s="3">
        <v>2</v>
      </c>
    </row>
    <row r="97" spans="1:11" x14ac:dyDescent="0.25">
      <c r="A97" t="s">
        <v>23</v>
      </c>
      <c r="B97" t="str">
        <f t="shared" ref="B97:B117" si="11">B96</f>
        <v>PAITON</v>
      </c>
      <c r="C97" s="70" t="s">
        <v>22</v>
      </c>
      <c r="D97" s="70"/>
      <c r="E97" s="3">
        <f t="shared" ref="E97:E117" si="12">E96+1</f>
        <v>3</v>
      </c>
      <c r="F97" s="15">
        <v>46</v>
      </c>
      <c r="G97" s="15">
        <v>1</v>
      </c>
      <c r="H97" s="15">
        <f t="shared" si="10"/>
        <v>45</v>
      </c>
      <c r="I97" s="4" t="s">
        <v>20</v>
      </c>
      <c r="K97" s="3">
        <v>29</v>
      </c>
    </row>
    <row r="98" spans="1:11" x14ac:dyDescent="0.25">
      <c r="A98" t="s">
        <v>23</v>
      </c>
      <c r="B98" t="str">
        <f t="shared" si="11"/>
        <v>PAITON</v>
      </c>
      <c r="C98" s="70" t="s">
        <v>22</v>
      </c>
      <c r="D98" s="70"/>
      <c r="E98" s="3">
        <f t="shared" si="12"/>
        <v>4</v>
      </c>
      <c r="F98" s="15">
        <v>48.8</v>
      </c>
      <c r="G98" s="15">
        <v>1.1000000000000001</v>
      </c>
      <c r="H98" s="15">
        <f t="shared" si="10"/>
        <v>47.699999999999996</v>
      </c>
      <c r="I98" s="4" t="s">
        <v>20</v>
      </c>
      <c r="K98" s="3">
        <v>25.1</v>
      </c>
    </row>
    <row r="99" spans="1:11" x14ac:dyDescent="0.25">
      <c r="A99" t="s">
        <v>23</v>
      </c>
      <c r="B99" t="str">
        <f t="shared" si="11"/>
        <v>PAITON</v>
      </c>
      <c r="C99" s="70" t="s">
        <v>22</v>
      </c>
      <c r="D99" s="70"/>
      <c r="E99" s="3">
        <f t="shared" si="12"/>
        <v>5</v>
      </c>
      <c r="F99" s="15">
        <v>46.8</v>
      </c>
      <c r="G99" s="15">
        <v>0.6</v>
      </c>
      <c r="H99" s="15">
        <f t="shared" si="10"/>
        <v>46.199999999999996</v>
      </c>
      <c r="I99" s="4" t="s">
        <v>20</v>
      </c>
      <c r="K99" s="3">
        <v>25</v>
      </c>
    </row>
    <row r="100" spans="1:11" x14ac:dyDescent="0.25">
      <c r="A100" t="s">
        <v>23</v>
      </c>
      <c r="B100" t="str">
        <f t="shared" si="11"/>
        <v>PAITON</v>
      </c>
      <c r="C100" s="70" t="s">
        <v>22</v>
      </c>
      <c r="D100" s="70"/>
      <c r="E100" s="3">
        <f t="shared" si="12"/>
        <v>6</v>
      </c>
      <c r="F100" s="15">
        <v>49.3</v>
      </c>
      <c r="G100" s="15">
        <v>1.1000000000000001</v>
      </c>
      <c r="H100" s="15">
        <f t="shared" si="10"/>
        <v>48.199999999999996</v>
      </c>
      <c r="I100" s="4" t="s">
        <v>20</v>
      </c>
      <c r="K100" s="3">
        <v>21</v>
      </c>
    </row>
    <row r="101" spans="1:11" x14ac:dyDescent="0.25">
      <c r="A101" t="s">
        <v>23</v>
      </c>
      <c r="B101" t="str">
        <f t="shared" si="11"/>
        <v>PAITON</v>
      </c>
      <c r="C101" s="70" t="s">
        <v>22</v>
      </c>
      <c r="D101" s="70"/>
      <c r="E101" s="3">
        <f t="shared" si="12"/>
        <v>7</v>
      </c>
      <c r="F101" s="15">
        <v>45</v>
      </c>
      <c r="G101" s="15">
        <v>0.9</v>
      </c>
      <c r="H101" s="15">
        <f t="shared" si="10"/>
        <v>44.1</v>
      </c>
      <c r="I101" s="4" t="s">
        <v>20</v>
      </c>
      <c r="K101" s="3">
        <f>SUM(K95:K100)</f>
        <v>153.5</v>
      </c>
    </row>
    <row r="102" spans="1:11" x14ac:dyDescent="0.25">
      <c r="A102" t="s">
        <v>23</v>
      </c>
      <c r="B102" t="str">
        <f t="shared" si="11"/>
        <v>PAITON</v>
      </c>
      <c r="C102" s="70" t="s">
        <v>22</v>
      </c>
      <c r="D102" s="70"/>
      <c r="E102" s="3">
        <f t="shared" si="12"/>
        <v>8</v>
      </c>
      <c r="F102" s="15">
        <v>44.8</v>
      </c>
      <c r="G102" s="15">
        <v>0.9</v>
      </c>
      <c r="H102" s="15">
        <f t="shared" si="10"/>
        <v>43.9</v>
      </c>
      <c r="I102" s="4" t="s">
        <v>20</v>
      </c>
    </row>
    <row r="103" spans="1:11" x14ac:dyDescent="0.25">
      <c r="A103" t="s">
        <v>23</v>
      </c>
      <c r="B103" t="str">
        <f t="shared" si="11"/>
        <v>PAITON</v>
      </c>
      <c r="C103" s="70" t="s">
        <v>22</v>
      </c>
      <c r="D103" s="70"/>
      <c r="E103" s="3">
        <f t="shared" si="12"/>
        <v>9</v>
      </c>
      <c r="F103" s="15">
        <v>45.8</v>
      </c>
      <c r="G103" s="15">
        <v>1.2</v>
      </c>
      <c r="H103" s="15">
        <f t="shared" si="10"/>
        <v>44.599999999999994</v>
      </c>
      <c r="I103" s="4" t="s">
        <v>20</v>
      </c>
    </row>
    <row r="104" spans="1:11" x14ac:dyDescent="0.25">
      <c r="A104" t="s">
        <v>23</v>
      </c>
      <c r="B104" t="str">
        <f t="shared" si="11"/>
        <v>PAITON</v>
      </c>
      <c r="C104" s="70" t="s">
        <v>22</v>
      </c>
      <c r="D104" s="70"/>
      <c r="E104" s="3">
        <f t="shared" si="12"/>
        <v>10</v>
      </c>
      <c r="F104" s="15">
        <v>45.1</v>
      </c>
      <c r="G104" s="15">
        <v>1.1000000000000001</v>
      </c>
      <c r="H104" s="15">
        <f t="shared" si="10"/>
        <v>44</v>
      </c>
      <c r="I104" s="4" t="s">
        <v>20</v>
      </c>
    </row>
    <row r="105" spans="1:11" x14ac:dyDescent="0.25">
      <c r="A105" t="s">
        <v>23</v>
      </c>
      <c r="B105" t="str">
        <f t="shared" si="11"/>
        <v>PAITON</v>
      </c>
      <c r="C105" s="70" t="s">
        <v>22</v>
      </c>
      <c r="D105" s="70"/>
      <c r="E105" s="3">
        <f t="shared" si="12"/>
        <v>11</v>
      </c>
      <c r="F105" s="15">
        <v>47.3</v>
      </c>
      <c r="G105" s="15">
        <v>1.5</v>
      </c>
      <c r="H105" s="15">
        <f t="shared" si="10"/>
        <v>45.8</v>
      </c>
      <c r="I105" s="4" t="s">
        <v>20</v>
      </c>
    </row>
    <row r="106" spans="1:11" x14ac:dyDescent="0.25">
      <c r="A106" t="s">
        <v>23</v>
      </c>
      <c r="B106" t="str">
        <f t="shared" si="11"/>
        <v>PAITON</v>
      </c>
      <c r="C106" s="70" t="s">
        <v>22</v>
      </c>
      <c r="D106" s="70"/>
      <c r="E106" s="3">
        <f t="shared" si="12"/>
        <v>12</v>
      </c>
      <c r="F106" s="15">
        <v>49.4</v>
      </c>
      <c r="G106" s="15">
        <v>1.2</v>
      </c>
      <c r="H106" s="15">
        <f t="shared" si="10"/>
        <v>48.199999999999996</v>
      </c>
      <c r="I106" s="4" t="s">
        <v>20</v>
      </c>
    </row>
    <row r="107" spans="1:11" x14ac:dyDescent="0.25">
      <c r="A107" t="s">
        <v>23</v>
      </c>
      <c r="B107" t="str">
        <f t="shared" si="11"/>
        <v>PAITON</v>
      </c>
      <c r="C107" s="70" t="s">
        <v>22</v>
      </c>
      <c r="D107" s="70"/>
      <c r="E107" s="3">
        <f t="shared" si="12"/>
        <v>13</v>
      </c>
      <c r="F107" s="15">
        <v>47.9</v>
      </c>
      <c r="G107" s="15">
        <v>1.7</v>
      </c>
      <c r="H107" s="15">
        <f t="shared" si="10"/>
        <v>46.199999999999996</v>
      </c>
      <c r="I107" s="4" t="s">
        <v>20</v>
      </c>
    </row>
    <row r="108" spans="1:11" x14ac:dyDescent="0.25">
      <c r="A108" t="s">
        <v>23</v>
      </c>
      <c r="B108" t="str">
        <f t="shared" si="11"/>
        <v>PAITON</v>
      </c>
      <c r="C108" s="70" t="s">
        <v>22</v>
      </c>
      <c r="D108" s="70"/>
      <c r="E108" s="3">
        <f t="shared" si="12"/>
        <v>14</v>
      </c>
      <c r="F108" s="15">
        <v>47.1</v>
      </c>
      <c r="G108" s="15">
        <v>1.4</v>
      </c>
      <c r="H108" s="15">
        <f t="shared" si="10"/>
        <v>45.7</v>
      </c>
      <c r="I108" s="4" t="s">
        <v>20</v>
      </c>
    </row>
    <row r="109" spans="1:11" x14ac:dyDescent="0.25">
      <c r="A109" t="s">
        <v>23</v>
      </c>
      <c r="B109" t="str">
        <f t="shared" si="11"/>
        <v>PAITON</v>
      </c>
      <c r="C109" s="70" t="s">
        <v>22</v>
      </c>
      <c r="D109" s="70"/>
      <c r="E109" s="3">
        <f t="shared" si="12"/>
        <v>15</v>
      </c>
      <c r="F109" s="15">
        <v>45.7</v>
      </c>
      <c r="G109" s="15">
        <v>1</v>
      </c>
      <c r="H109" s="15">
        <f t="shared" si="10"/>
        <v>44.7</v>
      </c>
      <c r="I109" s="4" t="s">
        <v>20</v>
      </c>
    </row>
    <row r="110" spans="1:11" x14ac:dyDescent="0.25">
      <c r="A110" t="s">
        <v>23</v>
      </c>
      <c r="B110" t="str">
        <f t="shared" si="11"/>
        <v>PAITON</v>
      </c>
      <c r="C110" s="70" t="s">
        <v>22</v>
      </c>
      <c r="D110" s="70"/>
      <c r="E110" s="3">
        <f t="shared" si="12"/>
        <v>16</v>
      </c>
      <c r="F110" s="15">
        <v>46.3</v>
      </c>
      <c r="G110" s="15">
        <v>1.4</v>
      </c>
      <c r="H110" s="15">
        <f t="shared" si="10"/>
        <v>44.9</v>
      </c>
      <c r="I110" s="4" t="s">
        <v>20</v>
      </c>
    </row>
    <row r="111" spans="1:11" x14ac:dyDescent="0.25">
      <c r="A111" t="s">
        <v>23</v>
      </c>
      <c r="B111" t="str">
        <f t="shared" si="11"/>
        <v>PAITON</v>
      </c>
      <c r="C111" s="70" t="s">
        <v>22</v>
      </c>
      <c r="D111" s="70"/>
      <c r="E111" s="3">
        <f t="shared" si="12"/>
        <v>17</v>
      </c>
      <c r="F111" s="15">
        <v>46.2</v>
      </c>
      <c r="G111" s="15">
        <v>1.3</v>
      </c>
      <c r="H111" s="15">
        <f t="shared" si="10"/>
        <v>44.900000000000006</v>
      </c>
      <c r="I111" s="4" t="s">
        <v>20</v>
      </c>
    </row>
    <row r="112" spans="1:11" x14ac:dyDescent="0.25">
      <c r="A112" t="s">
        <v>23</v>
      </c>
      <c r="B112" t="str">
        <f t="shared" si="11"/>
        <v>PAITON</v>
      </c>
      <c r="C112" s="70" t="s">
        <v>22</v>
      </c>
      <c r="D112" s="70"/>
      <c r="E112" s="3">
        <f t="shared" si="12"/>
        <v>18</v>
      </c>
      <c r="F112" s="15">
        <v>44.1</v>
      </c>
      <c r="G112" s="15">
        <v>1</v>
      </c>
      <c r="H112" s="15">
        <f>F112-G112</f>
        <v>43.1</v>
      </c>
      <c r="I112" s="4" t="s">
        <v>20</v>
      </c>
    </row>
    <row r="113" spans="1:9" x14ac:dyDescent="0.25">
      <c r="A113" t="s">
        <v>23</v>
      </c>
      <c r="B113" t="str">
        <f t="shared" si="11"/>
        <v>PAITON</v>
      </c>
      <c r="C113" s="70" t="s">
        <v>22</v>
      </c>
      <c r="D113" s="70"/>
      <c r="E113" s="3">
        <f t="shared" si="12"/>
        <v>19</v>
      </c>
      <c r="F113" s="15">
        <v>48.9</v>
      </c>
      <c r="G113" s="15">
        <v>1.2</v>
      </c>
      <c r="H113" s="15">
        <f t="shared" ref="H113:H117" si="13">F113-G113</f>
        <v>47.699999999999996</v>
      </c>
      <c r="I113" s="4" t="s">
        <v>20</v>
      </c>
    </row>
    <row r="114" spans="1:9" x14ac:dyDescent="0.25">
      <c r="A114" t="s">
        <v>23</v>
      </c>
      <c r="B114" t="str">
        <f t="shared" si="11"/>
        <v>PAITON</v>
      </c>
      <c r="C114" s="70" t="s">
        <v>22</v>
      </c>
      <c r="D114" s="70"/>
      <c r="E114" s="3">
        <f t="shared" si="12"/>
        <v>20</v>
      </c>
      <c r="F114" s="15">
        <v>48.9</v>
      </c>
      <c r="G114" s="15">
        <v>1.1000000000000001</v>
      </c>
      <c r="H114" s="15">
        <f t="shared" si="13"/>
        <v>47.8</v>
      </c>
      <c r="I114" s="4" t="s">
        <v>20</v>
      </c>
    </row>
    <row r="115" spans="1:9" x14ac:dyDescent="0.25">
      <c r="A115" t="s">
        <v>23</v>
      </c>
      <c r="B115" t="str">
        <f t="shared" si="11"/>
        <v>PAITON</v>
      </c>
      <c r="C115" s="70" t="s">
        <v>22</v>
      </c>
      <c r="D115" s="70"/>
      <c r="E115" s="3">
        <f t="shared" si="12"/>
        <v>21</v>
      </c>
      <c r="F115" s="15">
        <v>47.1</v>
      </c>
      <c r="G115" s="15">
        <v>1.3</v>
      </c>
      <c r="H115" s="15">
        <f t="shared" si="13"/>
        <v>45.800000000000004</v>
      </c>
      <c r="I115" s="4" t="s">
        <v>20</v>
      </c>
    </row>
    <row r="116" spans="1:9" x14ac:dyDescent="0.25">
      <c r="A116" t="s">
        <v>23</v>
      </c>
      <c r="B116" t="str">
        <f t="shared" si="11"/>
        <v>PAITON</v>
      </c>
      <c r="C116" s="70" t="s">
        <v>22</v>
      </c>
      <c r="D116" s="70"/>
      <c r="E116" s="3">
        <f t="shared" si="12"/>
        <v>22</v>
      </c>
      <c r="F116" s="15">
        <v>45.6</v>
      </c>
      <c r="G116" s="15">
        <v>1.6</v>
      </c>
      <c r="H116" s="15">
        <f t="shared" si="13"/>
        <v>44</v>
      </c>
      <c r="I116" s="4" t="s">
        <v>20</v>
      </c>
    </row>
    <row r="117" spans="1:9" ht="15.75" thickBot="1" x14ac:dyDescent="0.3">
      <c r="A117" t="s">
        <v>23</v>
      </c>
      <c r="B117" t="str">
        <f t="shared" si="11"/>
        <v>PAITON</v>
      </c>
      <c r="C117" s="70" t="s">
        <v>22</v>
      </c>
      <c r="D117" s="70"/>
      <c r="E117" s="3">
        <f t="shared" si="12"/>
        <v>23</v>
      </c>
      <c r="F117" s="15">
        <v>20</v>
      </c>
      <c r="G117" s="15">
        <v>0.2</v>
      </c>
      <c r="H117" s="15">
        <f t="shared" si="13"/>
        <v>19.8</v>
      </c>
      <c r="I117" s="4" t="s">
        <v>42</v>
      </c>
    </row>
    <row r="118" spans="1:9" ht="16.5" thickTop="1" thickBot="1" x14ac:dyDescent="0.3">
      <c r="A118" s="75" t="s">
        <v>27</v>
      </c>
      <c r="B118" s="75"/>
      <c r="C118" s="75"/>
      <c r="D118" s="75"/>
      <c r="E118" s="12">
        <f>E117</f>
        <v>23</v>
      </c>
      <c r="F118" s="14">
        <f>SUM(F95:F117)</f>
        <v>1048.7</v>
      </c>
      <c r="G118" s="14">
        <f>SUM(G95:G117)</f>
        <v>26</v>
      </c>
      <c r="H118" s="14">
        <f>SUM(H95:H117)</f>
        <v>1022.7</v>
      </c>
      <c r="I118" s="13"/>
    </row>
    <row r="119" spans="1:9" ht="15.75" thickTop="1" x14ac:dyDescent="0.25"/>
    <row r="120" spans="1:9" ht="15.75" thickBot="1" x14ac:dyDescent="0.3">
      <c r="A120" s="1" t="s">
        <v>29</v>
      </c>
    </row>
    <row r="121" spans="1:9" ht="46.5" thickTop="1" thickBot="1" x14ac:dyDescent="0.3">
      <c r="A121" s="9" t="s">
        <v>7</v>
      </c>
      <c r="B121" s="9" t="s">
        <v>2</v>
      </c>
      <c r="C121" s="73" t="s">
        <v>6</v>
      </c>
      <c r="D121" s="73"/>
      <c r="E121" s="11" t="s">
        <v>30</v>
      </c>
      <c r="F121" s="11" t="s">
        <v>31</v>
      </c>
      <c r="G121" s="11" t="s">
        <v>32</v>
      </c>
      <c r="H121" s="11" t="s">
        <v>33</v>
      </c>
      <c r="I121" s="11" t="s">
        <v>37</v>
      </c>
    </row>
    <row r="122" spans="1:9" ht="16.5" thickTop="1" thickBot="1" x14ac:dyDescent="0.3">
      <c r="A122" t="s">
        <v>23</v>
      </c>
      <c r="B122" t="str">
        <f>B95</f>
        <v>PAITON</v>
      </c>
      <c r="C122" s="76" t="str">
        <f>C95</f>
        <v>Ball Goni</v>
      </c>
      <c r="D122" s="76"/>
      <c r="E122" s="15">
        <v>825</v>
      </c>
      <c r="F122" s="15">
        <f>K101</f>
        <v>153.5</v>
      </c>
      <c r="G122" s="15">
        <v>15.6</v>
      </c>
      <c r="H122" s="15">
        <f>IF(E122="","",(H118-E122-F122-G122))</f>
        <v>28.600000000000044</v>
      </c>
      <c r="I122" s="15">
        <f>IF(E122="","",SUM(E122:H122))</f>
        <v>1022.7</v>
      </c>
    </row>
    <row r="123" spans="1:9" ht="16.5" thickTop="1" thickBot="1" x14ac:dyDescent="0.3">
      <c r="A123" s="77" t="s">
        <v>52</v>
      </c>
      <c r="B123" s="77"/>
      <c r="C123" s="77"/>
      <c r="D123" s="77"/>
      <c r="E123" s="20">
        <f>IF(E122="","",E122/$H118)</f>
        <v>0.8066881783514227</v>
      </c>
      <c r="F123" s="32">
        <f>IF(F122="","",F122/$H118)</f>
        <v>0.15009289136599197</v>
      </c>
      <c r="G123" s="32">
        <f t="shared" ref="G123:H123" si="14">IF(G122="","",G122/$H118)</f>
        <v>1.5253740099735992E-2</v>
      </c>
      <c r="H123" s="32">
        <f t="shared" si="14"/>
        <v>2.7965190182849362E-2</v>
      </c>
      <c r="I123" s="17">
        <f>IF(I122="","",SUM(E123:H123))</f>
        <v>1</v>
      </c>
    </row>
    <row r="124" spans="1:9" ht="10.5" customHeight="1" thickTop="1" x14ac:dyDescent="0.25">
      <c r="A124" s="19" t="s">
        <v>16</v>
      </c>
    </row>
    <row r="125" spans="1:9" ht="10.5" customHeight="1" x14ac:dyDescent="0.25">
      <c r="A125" s="7" t="s">
        <v>36</v>
      </c>
    </row>
    <row r="126" spans="1:9" ht="10.5" customHeight="1" x14ac:dyDescent="0.25">
      <c r="A126" s="7" t="s">
        <v>35</v>
      </c>
    </row>
    <row r="127" spans="1:9" ht="10.5" customHeight="1" x14ac:dyDescent="0.25">
      <c r="A127" s="7" t="s">
        <v>34</v>
      </c>
    </row>
    <row r="128" spans="1:9" ht="10.5" customHeight="1" x14ac:dyDescent="0.25">
      <c r="A128" s="7" t="s">
        <v>50</v>
      </c>
    </row>
  </sheetData>
  <mergeCells count="79">
    <mergeCell ref="A123:D123"/>
    <mergeCell ref="C117:D117"/>
    <mergeCell ref="C121:D121"/>
    <mergeCell ref="A118:D118"/>
    <mergeCell ref="C122:D122"/>
    <mergeCell ref="C115:D115"/>
    <mergeCell ref="C116:D116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A81:D81"/>
    <mergeCell ref="C84:D84"/>
    <mergeCell ref="C85:D85"/>
    <mergeCell ref="C104:D104"/>
    <mergeCell ref="C94:D94"/>
    <mergeCell ref="C95:D95"/>
    <mergeCell ref="C96:D96"/>
    <mergeCell ref="C97:D97"/>
    <mergeCell ref="A86:D86"/>
    <mergeCell ref="C100:D100"/>
    <mergeCell ref="C101:D101"/>
    <mergeCell ref="C102:D102"/>
    <mergeCell ref="C103:D103"/>
    <mergeCell ref="C98:D98"/>
    <mergeCell ref="C99:D99"/>
    <mergeCell ref="C78:D78"/>
    <mergeCell ref="C79:D79"/>
    <mergeCell ref="C80:D80"/>
    <mergeCell ref="C73:D73"/>
    <mergeCell ref="C74:D74"/>
    <mergeCell ref="C75:D75"/>
    <mergeCell ref="C76:D76"/>
    <mergeCell ref="C77:D77"/>
    <mergeCell ref="A1:I1"/>
    <mergeCell ref="A25:I25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60:D60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39:D39"/>
    <mergeCell ref="C40:D40"/>
    <mergeCell ref="A41:D41"/>
    <mergeCell ref="A36:D36"/>
    <mergeCell ref="C72:D72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</mergeCells>
  <conditionalFormatting sqref="I18:I20">
    <cfRule type="cellIs" dxfId="5" priority="1" operator="equal">
      <formula>0</formula>
    </cfRule>
    <cfRule type="cellIs" dxfId="4" priority="2" operator="greaterThan">
      <formula>0</formula>
    </cfRule>
    <cfRule type="cellIs" dxfId="3" priority="3" operator="lessThan">
      <formula>0</formula>
    </cfRule>
  </conditionalFormatting>
  <pageMargins left="0" right="0" top="0" bottom="0" header="0" footer="0"/>
  <pageSetup paperSize="20000"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CCA2-246F-4CDB-A2F5-E88F8D184C2D}">
  <dimension ref="A1:M118"/>
  <sheetViews>
    <sheetView showGridLines="0" topLeftCell="A97" workbookViewId="0">
      <selection activeCell="M93" sqref="M93"/>
    </sheetView>
  </sheetViews>
  <sheetFormatPr defaultRowHeight="15" x14ac:dyDescent="0.25"/>
  <cols>
    <col min="1" max="1" width="12.28515625" customWidth="1"/>
    <col min="2" max="2" width="13.85546875" customWidth="1"/>
    <col min="3" max="3" width="10" customWidth="1"/>
    <col min="4" max="4" width="9.7109375" customWidth="1"/>
    <col min="5" max="5" width="10.28515625" style="3" customWidth="1"/>
    <col min="6" max="6" width="9.28515625" customWidth="1"/>
    <col min="7" max="7" width="9.140625" customWidth="1"/>
    <col min="8" max="8" width="11.7109375" customWidth="1"/>
    <col min="9" max="9" width="18.85546875" customWidth="1"/>
    <col min="11" max="11" width="9.140625" style="3" customWidth="1"/>
    <col min="12" max="13" width="9.140625" style="3"/>
  </cols>
  <sheetData>
    <row r="1" spans="1:10" ht="21" x14ac:dyDescent="0.35">
      <c r="A1" s="71" t="s">
        <v>51</v>
      </c>
      <c r="B1" s="71"/>
      <c r="C1" s="71"/>
      <c r="D1" s="71"/>
      <c r="E1" s="71"/>
      <c r="F1" s="71"/>
      <c r="G1" s="71"/>
      <c r="H1" s="71"/>
      <c r="I1" s="71"/>
    </row>
    <row r="3" spans="1:10" x14ac:dyDescent="0.25">
      <c r="A3" s="8" t="s">
        <v>190</v>
      </c>
    </row>
    <row r="4" spans="1:10" x14ac:dyDescent="0.25">
      <c r="A4" s="1" t="s">
        <v>0</v>
      </c>
      <c r="B4" t="s">
        <v>193</v>
      </c>
      <c r="H4" s="22" t="s">
        <v>58</v>
      </c>
      <c r="I4" s="21"/>
    </row>
    <row r="5" spans="1:10" ht="4.5" customHeight="1" thickBot="1" x14ac:dyDescent="0.3"/>
    <row r="6" spans="1:10" s="3" customFormat="1" ht="31.5" customHeight="1" thickTop="1" thickBot="1" x14ac:dyDescent="0.3">
      <c r="A6" s="10" t="s">
        <v>7</v>
      </c>
      <c r="B6" s="10" t="s">
        <v>2</v>
      </c>
      <c r="C6" s="11" t="s">
        <v>97</v>
      </c>
      <c r="D6" s="10" t="s">
        <v>6</v>
      </c>
      <c r="E6" s="10" t="s">
        <v>3</v>
      </c>
      <c r="F6" s="10" t="s">
        <v>4</v>
      </c>
      <c r="G6" s="10" t="s">
        <v>5</v>
      </c>
      <c r="H6" s="11" t="s">
        <v>15</v>
      </c>
      <c r="I6" s="11" t="s">
        <v>19</v>
      </c>
      <c r="J6" s="4"/>
    </row>
    <row r="7" spans="1:10" s="3" customFormat="1" ht="15.75" thickTop="1" x14ac:dyDescent="0.25">
      <c r="A7" s="5" t="s">
        <v>1</v>
      </c>
      <c r="B7" s="5" t="s">
        <v>185</v>
      </c>
      <c r="C7" s="4">
        <v>37</v>
      </c>
      <c r="D7" s="4" t="s">
        <v>22</v>
      </c>
      <c r="E7" s="15">
        <v>1815.6</v>
      </c>
      <c r="F7" s="15">
        <f>G65</f>
        <v>44.900000000000006</v>
      </c>
      <c r="G7" s="15">
        <f>E7-F7</f>
        <v>1770.6999999999998</v>
      </c>
      <c r="H7" s="6">
        <v>46226</v>
      </c>
      <c r="I7" s="53" t="s">
        <v>202</v>
      </c>
      <c r="J7"/>
    </row>
    <row r="8" spans="1:10" s="3" customFormat="1" x14ac:dyDescent="0.25">
      <c r="A8" s="5" t="s">
        <v>1</v>
      </c>
      <c r="B8" s="5" t="s">
        <v>203</v>
      </c>
      <c r="C8" s="4">
        <v>28</v>
      </c>
      <c r="D8" s="4" t="s">
        <v>22</v>
      </c>
      <c r="E8" s="15">
        <v>1432</v>
      </c>
      <c r="F8" s="15">
        <f>G108</f>
        <v>33.200000000000003</v>
      </c>
      <c r="G8" s="15">
        <f>E8-F8</f>
        <v>1398.8</v>
      </c>
      <c r="H8" s="6">
        <v>46226</v>
      </c>
      <c r="I8" s="53" t="s">
        <v>202</v>
      </c>
      <c r="J8"/>
    </row>
    <row r="9" spans="1:10" s="3" customFormat="1" ht="4.5" customHeight="1" x14ac:dyDescent="0.25">
      <c r="A9"/>
      <c r="B9"/>
      <c r="C9"/>
      <c r="D9"/>
      <c r="F9"/>
      <c r="G9"/>
      <c r="H9"/>
      <c r="I9"/>
      <c r="J9"/>
    </row>
    <row r="10" spans="1:10" s="3" customFormat="1" x14ac:dyDescent="0.25">
      <c r="A10" s="19" t="s">
        <v>16</v>
      </c>
      <c r="B10"/>
      <c r="C10"/>
      <c r="D10"/>
      <c r="F10"/>
      <c r="G10"/>
      <c r="H10"/>
      <c r="I10"/>
      <c r="J10"/>
    </row>
    <row r="11" spans="1:10" s="3" customFormat="1" ht="10.5" customHeight="1" x14ac:dyDescent="0.25">
      <c r="A11" s="7" t="s">
        <v>98</v>
      </c>
      <c r="B11"/>
      <c r="C11"/>
      <c r="D11"/>
      <c r="F11"/>
      <c r="G11"/>
      <c r="H11"/>
      <c r="I11"/>
      <c r="J11"/>
    </row>
    <row r="12" spans="1:10" s="3" customFormat="1" ht="12.75" customHeight="1" x14ac:dyDescent="0.25">
      <c r="A12" s="7" t="s">
        <v>17</v>
      </c>
      <c r="B12"/>
      <c r="C12"/>
      <c r="D12"/>
      <c r="F12"/>
      <c r="G12"/>
      <c r="H12"/>
      <c r="I12"/>
      <c r="J12"/>
    </row>
    <row r="13" spans="1:10" s="3" customFormat="1" ht="5.25" customHeight="1" x14ac:dyDescent="0.25">
      <c r="A13"/>
      <c r="B13"/>
      <c r="C13"/>
      <c r="D13"/>
      <c r="F13"/>
      <c r="G13"/>
      <c r="H13"/>
      <c r="I13"/>
      <c r="J13"/>
    </row>
    <row r="14" spans="1:10" s="3" customFormat="1" x14ac:dyDescent="0.25">
      <c r="A14" s="8" t="s">
        <v>191</v>
      </c>
      <c r="B14"/>
      <c r="C14"/>
      <c r="D14"/>
      <c r="F14"/>
      <c r="G14"/>
      <c r="H14"/>
      <c r="I14"/>
      <c r="J14"/>
    </row>
    <row r="15" spans="1:10" s="3" customFormat="1" ht="4.5" customHeight="1" thickBot="1" x14ac:dyDescent="0.3">
      <c r="A15"/>
      <c r="B15"/>
      <c r="C15"/>
      <c r="D15"/>
      <c r="F15"/>
      <c r="G15"/>
      <c r="H15"/>
      <c r="I15"/>
      <c r="J15"/>
    </row>
    <row r="16" spans="1:10" s="3" customFormat="1" ht="31.5" customHeight="1" thickTop="1" thickBot="1" x14ac:dyDescent="0.3">
      <c r="A16" s="10" t="s">
        <v>7</v>
      </c>
      <c r="B16" s="10" t="s">
        <v>2</v>
      </c>
      <c r="C16" s="11" t="s">
        <v>97</v>
      </c>
      <c r="D16" s="10" t="s">
        <v>6</v>
      </c>
      <c r="E16" s="10" t="s">
        <v>3</v>
      </c>
      <c r="F16" s="10" t="s">
        <v>4</v>
      </c>
      <c r="G16" s="10" t="s">
        <v>5</v>
      </c>
      <c r="H16" s="11" t="s">
        <v>15</v>
      </c>
      <c r="I16" s="11" t="s">
        <v>192</v>
      </c>
      <c r="J16" s="4"/>
    </row>
    <row r="17" spans="1:10" s="3" customFormat="1" ht="15.75" thickTop="1" x14ac:dyDescent="0.25">
      <c r="A17" s="5" t="s">
        <v>1</v>
      </c>
      <c r="B17" s="5" t="str">
        <f>B7</f>
        <v>PAITON P10T5</v>
      </c>
      <c r="C17" s="4">
        <v>37</v>
      </c>
      <c r="D17" s="4" t="s">
        <v>22</v>
      </c>
      <c r="E17" s="15">
        <v>1818</v>
      </c>
      <c r="F17" s="15">
        <f>F7</f>
        <v>44.900000000000006</v>
      </c>
      <c r="G17" s="15">
        <f>E17-F17</f>
        <v>1773.1</v>
      </c>
      <c r="H17" s="6">
        <f>H7</f>
        <v>46226</v>
      </c>
      <c r="I17" s="15">
        <f>E17-E7</f>
        <v>2.4000000000000909</v>
      </c>
      <c r="J17"/>
    </row>
    <row r="18" spans="1:10" s="3" customFormat="1" x14ac:dyDescent="0.25">
      <c r="A18" s="5" t="s">
        <v>1</v>
      </c>
      <c r="B18" s="5" t="str">
        <f>B8</f>
        <v>LOMBOK P9K5</v>
      </c>
      <c r="C18" s="4">
        <v>28</v>
      </c>
      <c r="D18" s="4" t="s">
        <v>22</v>
      </c>
      <c r="E18" s="15">
        <v>1433.9</v>
      </c>
      <c r="F18" s="15">
        <f>F8</f>
        <v>33.200000000000003</v>
      </c>
      <c r="G18" s="15">
        <f>E18-F18</f>
        <v>1400.7</v>
      </c>
      <c r="H18" s="6">
        <f>H8</f>
        <v>46226</v>
      </c>
      <c r="I18" s="15">
        <f>E18-E8</f>
        <v>1.9000000000000909</v>
      </c>
      <c r="J18"/>
    </row>
    <row r="19" spans="1:10" s="3" customFormat="1" ht="4.5" customHeight="1" x14ac:dyDescent="0.25">
      <c r="A19"/>
      <c r="B19"/>
      <c r="C19"/>
      <c r="D19"/>
      <c r="F19"/>
      <c r="G19"/>
      <c r="H19"/>
      <c r="I19"/>
      <c r="J19"/>
    </row>
    <row r="20" spans="1:10" s="3" customFormat="1" x14ac:dyDescent="0.25">
      <c r="A20" s="19" t="s">
        <v>16</v>
      </c>
      <c r="B20"/>
      <c r="C20"/>
      <c r="D20"/>
      <c r="F20"/>
      <c r="G20"/>
      <c r="H20"/>
      <c r="I20"/>
      <c r="J20"/>
    </row>
    <row r="21" spans="1:10" s="3" customFormat="1" ht="10.5" customHeight="1" x14ac:dyDescent="0.25">
      <c r="A21" s="7" t="s">
        <v>143</v>
      </c>
      <c r="B21"/>
      <c r="C21"/>
      <c r="D21"/>
      <c r="F21"/>
      <c r="G21"/>
      <c r="H21"/>
      <c r="I21"/>
      <c r="J21"/>
    </row>
    <row r="22" spans="1:10" s="3" customFormat="1" ht="12" customHeight="1" x14ac:dyDescent="0.25">
      <c r="A22" s="7" t="s">
        <v>17</v>
      </c>
      <c r="B22"/>
      <c r="C22"/>
      <c r="D22"/>
      <c r="F22"/>
      <c r="G22"/>
      <c r="H22"/>
      <c r="I22"/>
      <c r="J22"/>
    </row>
    <row r="23" spans="1:10" s="3" customFormat="1" x14ac:dyDescent="0.25">
      <c r="A23" s="72" t="s">
        <v>28</v>
      </c>
      <c r="B23" s="72"/>
      <c r="C23" s="72"/>
      <c r="D23" s="72"/>
      <c r="E23" s="72"/>
      <c r="F23" s="72"/>
      <c r="G23" s="72"/>
      <c r="H23" s="72"/>
      <c r="I23" s="72"/>
      <c r="J23"/>
    </row>
    <row r="24" spans="1:10" s="3" customFormat="1" ht="8.25" customHeight="1" x14ac:dyDescent="0.25">
      <c r="A24"/>
      <c r="B24"/>
      <c r="C24"/>
      <c r="D24"/>
      <c r="F24"/>
      <c r="G24"/>
      <c r="H24"/>
      <c r="I24"/>
      <c r="J24"/>
    </row>
    <row r="25" spans="1:10" s="3" customFormat="1" ht="15.75" thickBot="1" x14ac:dyDescent="0.3">
      <c r="A25" s="1" t="s">
        <v>204</v>
      </c>
      <c r="B25" s="1"/>
      <c r="C25" s="1"/>
      <c r="D25"/>
      <c r="F25"/>
      <c r="G25"/>
      <c r="H25"/>
      <c r="I25"/>
      <c r="J25"/>
    </row>
    <row r="26" spans="1:10" s="3" customFormat="1" ht="16.5" thickTop="1" thickBot="1" x14ac:dyDescent="0.3">
      <c r="A26" s="10" t="s">
        <v>7</v>
      </c>
      <c r="B26" s="10" t="s">
        <v>2</v>
      </c>
      <c r="C26" s="73" t="s">
        <v>6</v>
      </c>
      <c r="D26" s="73"/>
      <c r="E26" s="10" t="s">
        <v>25</v>
      </c>
      <c r="F26" s="10" t="s">
        <v>3</v>
      </c>
      <c r="G26" s="10" t="s">
        <v>4</v>
      </c>
      <c r="H26" s="10" t="s">
        <v>5</v>
      </c>
      <c r="I26" s="11" t="s">
        <v>26</v>
      </c>
    </row>
    <row r="27" spans="1:10" ht="15.75" thickTop="1" x14ac:dyDescent="0.25">
      <c r="A27" t="s">
        <v>23</v>
      </c>
      <c r="B27" t="s">
        <v>39</v>
      </c>
      <c r="C27" s="74" t="s">
        <v>22</v>
      </c>
      <c r="D27" s="74"/>
      <c r="E27" s="3">
        <v>1</v>
      </c>
      <c r="F27" s="15">
        <v>52.2</v>
      </c>
      <c r="G27" s="15">
        <v>1</v>
      </c>
      <c r="H27" s="15">
        <f>F27-G27</f>
        <v>51.2</v>
      </c>
      <c r="I27" s="4" t="s">
        <v>20</v>
      </c>
    </row>
    <row r="28" spans="1:10" x14ac:dyDescent="0.25">
      <c r="A28" t="s">
        <v>23</v>
      </c>
      <c r="B28" t="str">
        <f>B27</f>
        <v>PAITON</v>
      </c>
      <c r="C28" s="70" t="s">
        <v>22</v>
      </c>
      <c r="D28" s="70"/>
      <c r="E28" s="3">
        <f>E27+1</f>
        <v>2</v>
      </c>
      <c r="F28" s="15">
        <v>47.9</v>
      </c>
      <c r="G28" s="15">
        <v>1</v>
      </c>
      <c r="H28" s="15">
        <f t="shared" ref="H28:H63" si="0">F28-G28</f>
        <v>46.9</v>
      </c>
      <c r="I28" s="4" t="s">
        <v>20</v>
      </c>
    </row>
    <row r="29" spans="1:10" x14ac:dyDescent="0.25">
      <c r="A29" t="s">
        <v>23</v>
      </c>
      <c r="B29" t="str">
        <f t="shared" ref="B29:B64" si="1">B28</f>
        <v>PAITON</v>
      </c>
      <c r="C29" s="70" t="s">
        <v>22</v>
      </c>
      <c r="D29" s="70"/>
      <c r="E29" s="3">
        <f t="shared" ref="E29:E64" si="2">E28+1</f>
        <v>3</v>
      </c>
      <c r="F29" s="15">
        <v>51.5</v>
      </c>
      <c r="G29" s="15">
        <v>1.5</v>
      </c>
      <c r="H29" s="15">
        <f t="shared" si="0"/>
        <v>50</v>
      </c>
      <c r="I29" s="4" t="s">
        <v>20</v>
      </c>
    </row>
    <row r="30" spans="1:10" x14ac:dyDescent="0.25">
      <c r="A30" t="s">
        <v>23</v>
      </c>
      <c r="B30" t="str">
        <f t="shared" si="1"/>
        <v>PAITON</v>
      </c>
      <c r="C30" s="70" t="s">
        <v>22</v>
      </c>
      <c r="D30" s="70"/>
      <c r="E30" s="3">
        <f t="shared" si="2"/>
        <v>4</v>
      </c>
      <c r="F30" s="15">
        <v>46.5</v>
      </c>
      <c r="G30" s="15">
        <v>1.1000000000000001</v>
      </c>
      <c r="H30" s="15">
        <f t="shared" si="0"/>
        <v>45.4</v>
      </c>
      <c r="I30" s="4" t="s">
        <v>20</v>
      </c>
    </row>
    <row r="31" spans="1:10" x14ac:dyDescent="0.25">
      <c r="A31" t="s">
        <v>23</v>
      </c>
      <c r="B31" t="str">
        <f t="shared" si="1"/>
        <v>PAITON</v>
      </c>
      <c r="C31" s="70" t="s">
        <v>22</v>
      </c>
      <c r="D31" s="70"/>
      <c r="E31" s="3">
        <f t="shared" si="2"/>
        <v>5</v>
      </c>
      <c r="F31" s="15">
        <v>47.9</v>
      </c>
      <c r="G31" s="15">
        <v>1.2</v>
      </c>
      <c r="H31" s="15">
        <f t="shared" si="0"/>
        <v>46.699999999999996</v>
      </c>
      <c r="I31" s="4" t="s">
        <v>20</v>
      </c>
    </row>
    <row r="32" spans="1:10" x14ac:dyDescent="0.25">
      <c r="A32" t="s">
        <v>23</v>
      </c>
      <c r="B32" t="str">
        <f t="shared" si="1"/>
        <v>PAITON</v>
      </c>
      <c r="C32" s="70" t="s">
        <v>22</v>
      </c>
      <c r="D32" s="70"/>
      <c r="E32" s="3">
        <f t="shared" si="2"/>
        <v>6</v>
      </c>
      <c r="F32" s="15">
        <v>47.1</v>
      </c>
      <c r="G32" s="15">
        <v>1.6</v>
      </c>
      <c r="H32" s="15">
        <f t="shared" si="0"/>
        <v>45.5</v>
      </c>
      <c r="I32" s="4" t="s">
        <v>20</v>
      </c>
    </row>
    <row r="33" spans="1:10" x14ac:dyDescent="0.25">
      <c r="A33" t="s">
        <v>23</v>
      </c>
      <c r="B33" t="str">
        <f t="shared" si="1"/>
        <v>PAITON</v>
      </c>
      <c r="C33" s="70" t="s">
        <v>22</v>
      </c>
      <c r="D33" s="70"/>
      <c r="E33" s="3">
        <f t="shared" si="2"/>
        <v>7</v>
      </c>
      <c r="F33" s="15">
        <v>49.6</v>
      </c>
      <c r="G33" s="15">
        <v>1</v>
      </c>
      <c r="H33" s="15">
        <f t="shared" si="0"/>
        <v>48.6</v>
      </c>
      <c r="I33" s="4" t="s">
        <v>20</v>
      </c>
    </row>
    <row r="34" spans="1:10" x14ac:dyDescent="0.25">
      <c r="A34" t="s">
        <v>23</v>
      </c>
      <c r="B34" t="str">
        <f t="shared" si="1"/>
        <v>PAITON</v>
      </c>
      <c r="C34" s="70" t="s">
        <v>22</v>
      </c>
      <c r="D34" s="70"/>
      <c r="E34" s="3">
        <f t="shared" si="2"/>
        <v>8</v>
      </c>
      <c r="F34" s="15">
        <v>49.5</v>
      </c>
      <c r="G34" s="15">
        <v>1.1000000000000001</v>
      </c>
      <c r="H34" s="15">
        <f t="shared" si="0"/>
        <v>48.4</v>
      </c>
      <c r="I34" s="4" t="s">
        <v>20</v>
      </c>
    </row>
    <row r="35" spans="1:10" x14ac:dyDescent="0.25">
      <c r="A35" t="s">
        <v>23</v>
      </c>
      <c r="B35" t="str">
        <f t="shared" si="1"/>
        <v>PAITON</v>
      </c>
      <c r="C35" s="70" t="s">
        <v>22</v>
      </c>
      <c r="D35" s="70"/>
      <c r="E35" s="3">
        <f t="shared" si="2"/>
        <v>9</v>
      </c>
      <c r="F35" s="15">
        <v>49.8</v>
      </c>
      <c r="G35" s="15">
        <v>1.1000000000000001</v>
      </c>
      <c r="H35" s="15">
        <f t="shared" si="0"/>
        <v>48.699999999999996</v>
      </c>
      <c r="I35" s="4" t="s">
        <v>20</v>
      </c>
    </row>
    <row r="36" spans="1:10" x14ac:dyDescent="0.25">
      <c r="A36" t="s">
        <v>23</v>
      </c>
      <c r="B36" t="str">
        <f t="shared" si="1"/>
        <v>PAITON</v>
      </c>
      <c r="C36" s="70" t="s">
        <v>22</v>
      </c>
      <c r="D36" s="70"/>
      <c r="E36" s="3">
        <f t="shared" si="2"/>
        <v>10</v>
      </c>
      <c r="F36" s="15">
        <v>48.5</v>
      </c>
      <c r="G36" s="15">
        <v>1.1000000000000001</v>
      </c>
      <c r="H36" s="15">
        <f t="shared" si="0"/>
        <v>47.4</v>
      </c>
      <c r="I36" s="4" t="s">
        <v>20</v>
      </c>
    </row>
    <row r="37" spans="1:10" x14ac:dyDescent="0.25">
      <c r="A37" t="s">
        <v>23</v>
      </c>
      <c r="B37" t="str">
        <f t="shared" si="1"/>
        <v>PAITON</v>
      </c>
      <c r="C37" s="70" t="s">
        <v>22</v>
      </c>
      <c r="D37" s="70"/>
      <c r="E37" s="3">
        <f t="shared" si="2"/>
        <v>11</v>
      </c>
      <c r="F37" s="15">
        <v>50.2</v>
      </c>
      <c r="G37" s="15">
        <v>1.2</v>
      </c>
      <c r="H37" s="15">
        <f t="shared" si="0"/>
        <v>49</v>
      </c>
      <c r="I37" s="4" t="s">
        <v>20</v>
      </c>
    </row>
    <row r="38" spans="1:10" x14ac:dyDescent="0.25">
      <c r="A38" t="s">
        <v>23</v>
      </c>
      <c r="B38" t="str">
        <f t="shared" si="1"/>
        <v>PAITON</v>
      </c>
      <c r="C38" s="70" t="s">
        <v>22</v>
      </c>
      <c r="D38" s="70"/>
      <c r="E38" s="3">
        <f t="shared" si="2"/>
        <v>12</v>
      </c>
      <c r="F38" s="15">
        <v>46.5</v>
      </c>
      <c r="G38" s="15">
        <v>1.5</v>
      </c>
      <c r="H38" s="15">
        <f t="shared" si="0"/>
        <v>45</v>
      </c>
      <c r="I38" s="4" t="s">
        <v>20</v>
      </c>
    </row>
    <row r="39" spans="1:10" x14ac:dyDescent="0.25">
      <c r="A39" t="s">
        <v>23</v>
      </c>
      <c r="B39" t="str">
        <f t="shared" si="1"/>
        <v>PAITON</v>
      </c>
      <c r="C39" s="70" t="s">
        <v>22</v>
      </c>
      <c r="D39" s="70"/>
      <c r="E39" s="3">
        <f t="shared" si="2"/>
        <v>13</v>
      </c>
      <c r="F39" s="15">
        <v>49.9</v>
      </c>
      <c r="G39" s="15">
        <v>1.5</v>
      </c>
      <c r="H39" s="15">
        <f t="shared" si="0"/>
        <v>48.4</v>
      </c>
      <c r="I39" s="4" t="s">
        <v>20</v>
      </c>
    </row>
    <row r="40" spans="1:10" x14ac:dyDescent="0.25">
      <c r="A40" t="s">
        <v>23</v>
      </c>
      <c r="B40" t="str">
        <f t="shared" si="1"/>
        <v>PAITON</v>
      </c>
      <c r="C40" s="70" t="s">
        <v>22</v>
      </c>
      <c r="D40" s="70"/>
      <c r="E40" s="3">
        <f t="shared" si="2"/>
        <v>14</v>
      </c>
      <c r="F40" s="15">
        <v>48.5</v>
      </c>
      <c r="G40" s="15">
        <v>1.5</v>
      </c>
      <c r="H40" s="15">
        <f t="shared" si="0"/>
        <v>47</v>
      </c>
      <c r="I40" s="4" t="s">
        <v>20</v>
      </c>
    </row>
    <row r="41" spans="1:10" x14ac:dyDescent="0.25">
      <c r="A41" t="s">
        <v>23</v>
      </c>
      <c r="B41" t="str">
        <f t="shared" si="1"/>
        <v>PAITON</v>
      </c>
      <c r="C41" s="70" t="s">
        <v>22</v>
      </c>
      <c r="D41" s="70"/>
      <c r="E41" s="3">
        <f t="shared" si="2"/>
        <v>15</v>
      </c>
      <c r="F41" s="15">
        <v>47.5</v>
      </c>
      <c r="G41" s="15">
        <v>1.5</v>
      </c>
      <c r="H41" s="15">
        <f t="shared" si="0"/>
        <v>46</v>
      </c>
      <c r="I41" s="4" t="s">
        <v>20</v>
      </c>
    </row>
    <row r="42" spans="1:10" s="3" customFormat="1" x14ac:dyDescent="0.25">
      <c r="A42" t="s">
        <v>23</v>
      </c>
      <c r="B42" t="str">
        <f t="shared" si="1"/>
        <v>PAITON</v>
      </c>
      <c r="C42" s="70" t="s">
        <v>22</v>
      </c>
      <c r="D42" s="70"/>
      <c r="E42" s="3">
        <f t="shared" si="2"/>
        <v>16</v>
      </c>
      <c r="F42" s="15">
        <v>46.6</v>
      </c>
      <c r="G42" s="15">
        <v>1.5</v>
      </c>
      <c r="H42" s="15">
        <f t="shared" si="0"/>
        <v>45.1</v>
      </c>
      <c r="I42" s="4" t="s">
        <v>20</v>
      </c>
      <c r="J42"/>
    </row>
    <row r="43" spans="1:10" s="3" customFormat="1" x14ac:dyDescent="0.25">
      <c r="A43" t="s">
        <v>23</v>
      </c>
      <c r="B43" t="str">
        <f t="shared" si="1"/>
        <v>PAITON</v>
      </c>
      <c r="C43" s="70" t="s">
        <v>22</v>
      </c>
      <c r="D43" s="70"/>
      <c r="E43" s="3">
        <f t="shared" si="2"/>
        <v>17</v>
      </c>
      <c r="F43" s="15">
        <v>50.1</v>
      </c>
      <c r="G43" s="15">
        <v>1</v>
      </c>
      <c r="H43" s="15">
        <f t="shared" si="0"/>
        <v>49.1</v>
      </c>
      <c r="I43" s="4" t="s">
        <v>20</v>
      </c>
      <c r="J43"/>
    </row>
    <row r="44" spans="1:10" s="3" customFormat="1" x14ac:dyDescent="0.25">
      <c r="A44" t="s">
        <v>23</v>
      </c>
      <c r="B44" t="str">
        <f t="shared" si="1"/>
        <v>PAITON</v>
      </c>
      <c r="C44" s="70" t="s">
        <v>22</v>
      </c>
      <c r="D44" s="70"/>
      <c r="E44" s="3">
        <f t="shared" si="2"/>
        <v>18</v>
      </c>
      <c r="F44" s="15">
        <v>45.6</v>
      </c>
      <c r="G44" s="15">
        <v>1.5</v>
      </c>
      <c r="H44" s="15">
        <f>F44-G44</f>
        <v>44.1</v>
      </c>
      <c r="I44" s="4" t="s">
        <v>20</v>
      </c>
      <c r="J44"/>
    </row>
    <row r="45" spans="1:10" s="3" customFormat="1" x14ac:dyDescent="0.25">
      <c r="A45" t="s">
        <v>23</v>
      </c>
      <c r="B45" t="str">
        <f t="shared" si="1"/>
        <v>PAITON</v>
      </c>
      <c r="C45" s="70" t="s">
        <v>22</v>
      </c>
      <c r="D45" s="70"/>
      <c r="E45" s="3">
        <f t="shared" si="2"/>
        <v>19</v>
      </c>
      <c r="F45" s="15">
        <v>47.2</v>
      </c>
      <c r="G45" s="15">
        <v>1.1000000000000001</v>
      </c>
      <c r="H45" s="15">
        <f t="shared" si="0"/>
        <v>46.1</v>
      </c>
      <c r="I45" s="4" t="s">
        <v>20</v>
      </c>
      <c r="J45"/>
    </row>
    <row r="46" spans="1:10" s="3" customFormat="1" x14ac:dyDescent="0.25">
      <c r="A46" t="s">
        <v>23</v>
      </c>
      <c r="B46" t="str">
        <f t="shared" si="1"/>
        <v>PAITON</v>
      </c>
      <c r="C46" s="70" t="s">
        <v>22</v>
      </c>
      <c r="D46" s="70"/>
      <c r="E46" s="3">
        <f t="shared" si="2"/>
        <v>20</v>
      </c>
      <c r="F46" s="15">
        <v>51.2</v>
      </c>
      <c r="G46" s="15">
        <v>1</v>
      </c>
      <c r="H46" s="15">
        <f t="shared" si="0"/>
        <v>50.2</v>
      </c>
      <c r="I46" s="4" t="s">
        <v>20</v>
      </c>
      <c r="J46"/>
    </row>
    <row r="47" spans="1:10" s="3" customFormat="1" x14ac:dyDescent="0.25">
      <c r="A47" t="s">
        <v>23</v>
      </c>
      <c r="B47" t="str">
        <f>B36</f>
        <v>PAITON</v>
      </c>
      <c r="C47" s="70" t="s">
        <v>22</v>
      </c>
      <c r="D47" s="70"/>
      <c r="E47" s="3">
        <f t="shared" si="2"/>
        <v>21</v>
      </c>
      <c r="F47" s="15">
        <v>50</v>
      </c>
      <c r="G47" s="15">
        <v>1.1000000000000001</v>
      </c>
      <c r="H47" s="15">
        <f t="shared" ref="H47:H53" si="3">F47-G47</f>
        <v>48.9</v>
      </c>
      <c r="I47" s="4" t="s">
        <v>20</v>
      </c>
      <c r="J47"/>
    </row>
    <row r="48" spans="1:10" s="3" customFormat="1" x14ac:dyDescent="0.25">
      <c r="A48" t="s">
        <v>23</v>
      </c>
      <c r="B48" t="str">
        <f t="shared" si="1"/>
        <v>PAITON</v>
      </c>
      <c r="C48" s="70" t="s">
        <v>22</v>
      </c>
      <c r="D48" s="70"/>
      <c r="E48" s="3">
        <f t="shared" si="2"/>
        <v>22</v>
      </c>
      <c r="F48" s="15">
        <v>48.7</v>
      </c>
      <c r="G48" s="15">
        <v>1.1000000000000001</v>
      </c>
      <c r="H48" s="15">
        <f t="shared" si="3"/>
        <v>47.6</v>
      </c>
      <c r="I48" s="4" t="s">
        <v>20</v>
      </c>
      <c r="J48"/>
    </row>
    <row r="49" spans="1:10" s="3" customFormat="1" x14ac:dyDescent="0.25">
      <c r="A49" t="s">
        <v>23</v>
      </c>
      <c r="B49" t="str">
        <f t="shared" si="1"/>
        <v>PAITON</v>
      </c>
      <c r="C49" s="70" t="s">
        <v>22</v>
      </c>
      <c r="D49" s="70"/>
      <c r="E49" s="3">
        <f t="shared" si="2"/>
        <v>23</v>
      </c>
      <c r="F49" s="15">
        <v>49.7</v>
      </c>
      <c r="G49" s="15">
        <v>0.9</v>
      </c>
      <c r="H49" s="15">
        <f t="shared" si="3"/>
        <v>48.800000000000004</v>
      </c>
      <c r="I49" s="4" t="s">
        <v>20</v>
      </c>
      <c r="J49"/>
    </row>
    <row r="50" spans="1:10" s="3" customFormat="1" x14ac:dyDescent="0.25">
      <c r="A50" t="s">
        <v>23</v>
      </c>
      <c r="B50" t="str">
        <f t="shared" si="1"/>
        <v>PAITON</v>
      </c>
      <c r="C50" s="70" t="s">
        <v>22</v>
      </c>
      <c r="D50" s="70"/>
      <c r="E50" s="3">
        <f t="shared" si="2"/>
        <v>24</v>
      </c>
      <c r="F50" s="15">
        <v>49.4</v>
      </c>
      <c r="G50" s="15">
        <v>1.4</v>
      </c>
      <c r="H50" s="15">
        <f t="shared" si="3"/>
        <v>48</v>
      </c>
      <c r="I50" s="4" t="s">
        <v>20</v>
      </c>
      <c r="J50"/>
    </row>
    <row r="51" spans="1:10" s="3" customFormat="1" x14ac:dyDescent="0.25">
      <c r="A51" t="s">
        <v>23</v>
      </c>
      <c r="B51" t="str">
        <f t="shared" si="1"/>
        <v>PAITON</v>
      </c>
      <c r="C51" s="70" t="s">
        <v>22</v>
      </c>
      <c r="D51" s="70"/>
      <c r="E51" s="3">
        <f t="shared" si="2"/>
        <v>25</v>
      </c>
      <c r="F51" s="15">
        <v>48.1</v>
      </c>
      <c r="G51" s="15">
        <v>1.1000000000000001</v>
      </c>
      <c r="H51" s="15">
        <f t="shared" si="3"/>
        <v>47</v>
      </c>
      <c r="I51" s="4" t="s">
        <v>20</v>
      </c>
      <c r="J51"/>
    </row>
    <row r="52" spans="1:10" s="3" customFormat="1" x14ac:dyDescent="0.25">
      <c r="A52" t="s">
        <v>23</v>
      </c>
      <c r="B52" t="str">
        <f t="shared" si="1"/>
        <v>PAITON</v>
      </c>
      <c r="C52" s="70" t="s">
        <v>22</v>
      </c>
      <c r="D52" s="70"/>
      <c r="E52" s="3">
        <f t="shared" si="2"/>
        <v>26</v>
      </c>
      <c r="F52" s="15">
        <v>47.2</v>
      </c>
      <c r="G52" s="15">
        <v>1.4</v>
      </c>
      <c r="H52" s="15">
        <f t="shared" si="3"/>
        <v>45.800000000000004</v>
      </c>
      <c r="I52" s="4" t="s">
        <v>20</v>
      </c>
      <c r="J52"/>
    </row>
    <row r="53" spans="1:10" s="3" customFormat="1" x14ac:dyDescent="0.25">
      <c r="A53" t="s">
        <v>23</v>
      </c>
      <c r="B53" t="str">
        <f t="shared" si="1"/>
        <v>PAITON</v>
      </c>
      <c r="C53" s="70" t="s">
        <v>22</v>
      </c>
      <c r="D53" s="70"/>
      <c r="E53" s="3">
        <f t="shared" si="2"/>
        <v>27</v>
      </c>
      <c r="F53" s="15">
        <v>46.7</v>
      </c>
      <c r="G53" s="15">
        <v>1.1000000000000001</v>
      </c>
      <c r="H53" s="15">
        <f t="shared" si="3"/>
        <v>45.6</v>
      </c>
      <c r="I53" s="4" t="s">
        <v>20</v>
      </c>
      <c r="J53"/>
    </row>
    <row r="54" spans="1:10" s="3" customFormat="1" x14ac:dyDescent="0.25">
      <c r="A54" t="s">
        <v>23</v>
      </c>
      <c r="B54" t="str">
        <f t="shared" si="1"/>
        <v>PAITON</v>
      </c>
      <c r="C54" s="70" t="s">
        <v>22</v>
      </c>
      <c r="D54" s="70"/>
      <c r="E54" s="3">
        <f t="shared" si="2"/>
        <v>28</v>
      </c>
      <c r="F54" s="15">
        <v>48.6</v>
      </c>
      <c r="G54" s="15">
        <v>1.1000000000000001</v>
      </c>
      <c r="H54" s="15">
        <f>F54-G54</f>
        <v>47.5</v>
      </c>
      <c r="I54" s="4" t="s">
        <v>20</v>
      </c>
      <c r="J54"/>
    </row>
    <row r="55" spans="1:10" s="3" customFormat="1" x14ac:dyDescent="0.25">
      <c r="A55" t="s">
        <v>23</v>
      </c>
      <c r="B55" t="str">
        <f t="shared" si="1"/>
        <v>PAITON</v>
      </c>
      <c r="C55" s="70" t="s">
        <v>22</v>
      </c>
      <c r="D55" s="70"/>
      <c r="E55" s="3">
        <f t="shared" si="2"/>
        <v>29</v>
      </c>
      <c r="F55" s="15">
        <v>49</v>
      </c>
      <c r="G55" s="15">
        <v>1.1000000000000001</v>
      </c>
      <c r="H55" s="15">
        <f t="shared" ref="H55:H56" si="4">F55-G55</f>
        <v>47.9</v>
      </c>
      <c r="I55" s="4" t="s">
        <v>20</v>
      </c>
      <c r="J55"/>
    </row>
    <row r="56" spans="1:10" s="3" customFormat="1" x14ac:dyDescent="0.25">
      <c r="A56" t="s">
        <v>23</v>
      </c>
      <c r="B56" t="str">
        <f t="shared" si="1"/>
        <v>PAITON</v>
      </c>
      <c r="C56" s="70" t="s">
        <v>22</v>
      </c>
      <c r="D56" s="70"/>
      <c r="E56" s="3">
        <f t="shared" si="2"/>
        <v>30</v>
      </c>
      <c r="F56" s="15">
        <v>48</v>
      </c>
      <c r="G56" s="15">
        <v>1</v>
      </c>
      <c r="H56" s="15">
        <f t="shared" si="4"/>
        <v>47</v>
      </c>
      <c r="I56" s="4" t="s">
        <v>20</v>
      </c>
      <c r="J56"/>
    </row>
    <row r="57" spans="1:10" s="3" customFormat="1" x14ac:dyDescent="0.25">
      <c r="A57" t="s">
        <v>23</v>
      </c>
      <c r="B57" t="str">
        <f>B46</f>
        <v>PAITON</v>
      </c>
      <c r="C57" s="70" t="s">
        <v>22</v>
      </c>
      <c r="D57" s="70"/>
      <c r="E57" s="3">
        <f t="shared" si="2"/>
        <v>31</v>
      </c>
      <c r="F57" s="15">
        <v>51.4</v>
      </c>
      <c r="G57" s="15">
        <v>1.5</v>
      </c>
      <c r="H57" s="15">
        <f t="shared" si="0"/>
        <v>49.9</v>
      </c>
      <c r="I57" s="4" t="s">
        <v>20</v>
      </c>
      <c r="J57"/>
    </row>
    <row r="58" spans="1:10" s="3" customFormat="1" x14ac:dyDescent="0.25">
      <c r="A58" t="s">
        <v>23</v>
      </c>
      <c r="B58" t="str">
        <f t="shared" si="1"/>
        <v>PAITON</v>
      </c>
      <c r="C58" s="70" t="s">
        <v>22</v>
      </c>
      <c r="D58" s="70"/>
      <c r="E58" s="3">
        <f t="shared" si="2"/>
        <v>32</v>
      </c>
      <c r="F58" s="15">
        <v>47.4</v>
      </c>
      <c r="G58" s="15">
        <v>1</v>
      </c>
      <c r="H58" s="15">
        <f t="shared" si="0"/>
        <v>46.4</v>
      </c>
      <c r="I58" s="4" t="s">
        <v>20</v>
      </c>
      <c r="J58"/>
    </row>
    <row r="59" spans="1:10" s="3" customFormat="1" x14ac:dyDescent="0.25">
      <c r="A59" t="s">
        <v>23</v>
      </c>
      <c r="B59" t="str">
        <f t="shared" si="1"/>
        <v>PAITON</v>
      </c>
      <c r="C59" s="70" t="s">
        <v>22</v>
      </c>
      <c r="D59" s="70"/>
      <c r="E59" s="3">
        <f t="shared" si="2"/>
        <v>33</v>
      </c>
      <c r="F59" s="15">
        <v>52.3</v>
      </c>
      <c r="G59" s="15">
        <v>1.4</v>
      </c>
      <c r="H59" s="15">
        <f t="shared" si="0"/>
        <v>50.9</v>
      </c>
      <c r="I59" s="4" t="s">
        <v>20</v>
      </c>
      <c r="J59"/>
    </row>
    <row r="60" spans="1:10" s="3" customFormat="1" x14ac:dyDescent="0.25">
      <c r="A60" t="s">
        <v>23</v>
      </c>
      <c r="B60" t="str">
        <f t="shared" si="1"/>
        <v>PAITON</v>
      </c>
      <c r="C60" s="70" t="s">
        <v>22</v>
      </c>
      <c r="D60" s="70"/>
      <c r="E60" s="3">
        <f t="shared" si="2"/>
        <v>34</v>
      </c>
      <c r="F60" s="15">
        <v>46.7</v>
      </c>
      <c r="G60" s="15">
        <v>0.9</v>
      </c>
      <c r="H60" s="15">
        <f t="shared" si="0"/>
        <v>45.800000000000004</v>
      </c>
      <c r="I60" s="4" t="s">
        <v>20</v>
      </c>
      <c r="J60"/>
    </row>
    <row r="61" spans="1:10" s="3" customFormat="1" x14ac:dyDescent="0.25">
      <c r="A61" t="s">
        <v>23</v>
      </c>
      <c r="B61" t="str">
        <f t="shared" si="1"/>
        <v>PAITON</v>
      </c>
      <c r="C61" s="70" t="s">
        <v>22</v>
      </c>
      <c r="D61" s="70"/>
      <c r="E61" s="3">
        <f t="shared" si="2"/>
        <v>35</v>
      </c>
      <c r="F61" s="15">
        <v>45</v>
      </c>
      <c r="G61" s="15">
        <v>1.4</v>
      </c>
      <c r="H61" s="15">
        <f t="shared" si="0"/>
        <v>43.6</v>
      </c>
      <c r="I61" s="4" t="s">
        <v>20</v>
      </c>
      <c r="J61"/>
    </row>
    <row r="62" spans="1:10" s="3" customFormat="1" x14ac:dyDescent="0.25">
      <c r="A62" t="s">
        <v>23</v>
      </c>
      <c r="B62" t="str">
        <f t="shared" si="1"/>
        <v>PAITON</v>
      </c>
      <c r="C62" s="70" t="s">
        <v>22</v>
      </c>
      <c r="D62" s="70"/>
      <c r="E62" s="3">
        <f t="shared" si="2"/>
        <v>36</v>
      </c>
      <c r="F62" s="15">
        <v>46.3</v>
      </c>
      <c r="G62" s="15">
        <v>1</v>
      </c>
      <c r="H62" s="15">
        <f t="shared" si="0"/>
        <v>45.3</v>
      </c>
      <c r="I62" s="4" t="s">
        <v>20</v>
      </c>
      <c r="J62"/>
    </row>
    <row r="63" spans="1:10" s="3" customFormat="1" x14ac:dyDescent="0.25">
      <c r="A63" t="s">
        <v>23</v>
      </c>
      <c r="B63" t="str">
        <f t="shared" si="1"/>
        <v>PAITON</v>
      </c>
      <c r="C63" s="70" t="s">
        <v>22</v>
      </c>
      <c r="D63" s="70"/>
      <c r="E63" s="3">
        <f t="shared" si="2"/>
        <v>37</v>
      </c>
      <c r="F63" s="15">
        <v>47.6</v>
      </c>
      <c r="G63" s="15">
        <v>1.2</v>
      </c>
      <c r="H63" s="15">
        <f t="shared" si="0"/>
        <v>46.4</v>
      </c>
      <c r="I63" s="4" t="s">
        <v>20</v>
      </c>
      <c r="J63"/>
    </row>
    <row r="64" spans="1:10" s="3" customFormat="1" ht="15.75" thickBot="1" x14ac:dyDescent="0.3">
      <c r="A64" t="s">
        <v>23</v>
      </c>
      <c r="B64" t="str">
        <f t="shared" si="1"/>
        <v>PAITON</v>
      </c>
      <c r="C64" s="70" t="s">
        <v>22</v>
      </c>
      <c r="D64" s="70"/>
      <c r="E64" s="3">
        <f t="shared" si="2"/>
        <v>38</v>
      </c>
      <c r="F64" s="15">
        <v>22</v>
      </c>
      <c r="G64" s="15">
        <v>0.2</v>
      </c>
      <c r="H64" s="15">
        <f>F64-G64</f>
        <v>21.8</v>
      </c>
      <c r="I64" s="4" t="s">
        <v>42</v>
      </c>
      <c r="J64"/>
    </row>
    <row r="65" spans="1:9" ht="16.5" thickTop="1" thickBot="1" x14ac:dyDescent="0.3">
      <c r="A65" s="75" t="s">
        <v>27</v>
      </c>
      <c r="B65" s="75"/>
      <c r="C65" s="75"/>
      <c r="D65" s="75"/>
      <c r="E65" s="12">
        <f>E64</f>
        <v>38</v>
      </c>
      <c r="F65" s="14">
        <f>SUM(F27:F64)</f>
        <v>1817.9000000000003</v>
      </c>
      <c r="G65" s="14">
        <f>SUM(G27:G64)</f>
        <v>44.900000000000006</v>
      </c>
      <c r="H65" s="14">
        <f>SUM(H27:H64)</f>
        <v>1773</v>
      </c>
      <c r="I65" s="13"/>
    </row>
    <row r="66" spans="1:9" ht="15.75" thickTop="1" x14ac:dyDescent="0.25"/>
    <row r="67" spans="1:9" ht="15.75" thickBot="1" x14ac:dyDescent="0.3">
      <c r="A67" s="1" t="s">
        <v>29</v>
      </c>
    </row>
    <row r="68" spans="1:9" s="3" customFormat="1" ht="46.5" thickTop="1" thickBot="1" x14ac:dyDescent="0.3">
      <c r="A68" s="10" t="s">
        <v>7</v>
      </c>
      <c r="B68" s="10" t="s">
        <v>2</v>
      </c>
      <c r="C68" s="73" t="s">
        <v>6</v>
      </c>
      <c r="D68" s="73"/>
      <c r="E68" s="11" t="s">
        <v>30</v>
      </c>
      <c r="F68" s="11" t="s">
        <v>31</v>
      </c>
      <c r="G68" s="11" t="s">
        <v>32</v>
      </c>
      <c r="H68" s="11" t="s">
        <v>33</v>
      </c>
      <c r="I68" s="11" t="s">
        <v>37</v>
      </c>
    </row>
    <row r="69" spans="1:9" ht="16.5" thickTop="1" thickBot="1" x14ac:dyDescent="0.3">
      <c r="A69" t="s">
        <v>23</v>
      </c>
      <c r="B69" t="str">
        <f>B27</f>
        <v>PAITON</v>
      </c>
      <c r="C69" s="76" t="str">
        <f>C27</f>
        <v>Ball Goni</v>
      </c>
      <c r="D69" s="76"/>
      <c r="E69" s="15">
        <v>1413</v>
      </c>
      <c r="F69" s="15">
        <v>319.2</v>
      </c>
      <c r="G69" s="15">
        <v>29.3</v>
      </c>
      <c r="H69" s="15">
        <f>IF(E69="","",(H65-E69-F69-G69))</f>
        <v>11.500000000000011</v>
      </c>
      <c r="I69" s="15">
        <f>IF(E69="","",SUM(E69:H69))</f>
        <v>1773</v>
      </c>
    </row>
    <row r="70" spans="1:9" ht="16.5" thickTop="1" thickBot="1" x14ac:dyDescent="0.3">
      <c r="A70" s="77" t="s">
        <v>52</v>
      </c>
      <c r="B70" s="77"/>
      <c r="C70" s="77"/>
      <c r="D70" s="77"/>
      <c r="E70" s="20">
        <f>IF(E69="","",E69/$H65)</f>
        <v>0.79695431472081213</v>
      </c>
      <c r="F70" s="32">
        <f>IF(F69="","",F69/$H65)</f>
        <v>0.18003384094754651</v>
      </c>
      <c r="G70" s="32">
        <f t="shared" ref="G70:H70" si="5">IF(G69="","",G69/$H65)</f>
        <v>1.6525662718556121E-2</v>
      </c>
      <c r="H70" s="32">
        <f t="shared" si="5"/>
        <v>6.4861816130851726E-3</v>
      </c>
      <c r="I70" s="17">
        <f>IF(I69="","",SUM(E70:H70))</f>
        <v>0.99999999999999989</v>
      </c>
    </row>
    <row r="71" spans="1:9" ht="10.5" customHeight="1" thickTop="1" x14ac:dyDescent="0.25">
      <c r="A71" s="19" t="s">
        <v>16</v>
      </c>
    </row>
    <row r="72" spans="1:9" ht="10.5" customHeight="1" x14ac:dyDescent="0.25">
      <c r="A72" s="7" t="s">
        <v>36</v>
      </c>
    </row>
    <row r="73" spans="1:9" ht="10.5" customHeight="1" x14ac:dyDescent="0.25">
      <c r="A73" s="7" t="s">
        <v>35</v>
      </c>
    </row>
    <row r="74" spans="1:9" ht="10.5" customHeight="1" x14ac:dyDescent="0.25">
      <c r="A74" s="7" t="s">
        <v>34</v>
      </c>
    </row>
    <row r="75" spans="1:9" ht="10.5" customHeight="1" x14ac:dyDescent="0.25">
      <c r="A75" s="7" t="s">
        <v>50</v>
      </c>
    </row>
    <row r="76" spans="1:9" ht="9.9499999999999993" customHeight="1" x14ac:dyDescent="0.25"/>
    <row r="77" spans="1:9" ht="15.75" thickBot="1" x14ac:dyDescent="0.3">
      <c r="A77" s="1" t="s">
        <v>205</v>
      </c>
      <c r="B77" s="1"/>
      <c r="C77" s="1"/>
    </row>
    <row r="78" spans="1:9" ht="16.5" thickTop="1" thickBot="1" x14ac:dyDescent="0.3">
      <c r="A78" s="9" t="s">
        <v>7</v>
      </c>
      <c r="B78" s="9" t="s">
        <v>2</v>
      </c>
      <c r="C78" s="73" t="s">
        <v>6</v>
      </c>
      <c r="D78" s="73"/>
      <c r="E78" s="10" t="s">
        <v>25</v>
      </c>
      <c r="F78" s="10" t="s">
        <v>3</v>
      </c>
      <c r="G78" s="10" t="s">
        <v>4</v>
      </c>
      <c r="H78" s="10" t="s">
        <v>5</v>
      </c>
      <c r="I78" s="11" t="s">
        <v>26</v>
      </c>
    </row>
    <row r="79" spans="1:9" ht="15.75" thickTop="1" x14ac:dyDescent="0.25">
      <c r="A79" t="s">
        <v>23</v>
      </c>
      <c r="B79" t="s">
        <v>206</v>
      </c>
      <c r="C79" s="74" t="s">
        <v>22</v>
      </c>
      <c r="D79" s="74"/>
      <c r="E79" s="3">
        <v>1</v>
      </c>
      <c r="F79" s="15">
        <v>53.7</v>
      </c>
      <c r="G79" s="15">
        <v>1</v>
      </c>
      <c r="H79" s="15">
        <f>F79-G79</f>
        <v>52.7</v>
      </c>
      <c r="I79" s="4" t="s">
        <v>20</v>
      </c>
    </row>
    <row r="80" spans="1:9" x14ac:dyDescent="0.25">
      <c r="A80" t="s">
        <v>23</v>
      </c>
      <c r="B80" t="str">
        <f>B79</f>
        <v>LOMBOK</v>
      </c>
      <c r="C80" s="70" t="s">
        <v>22</v>
      </c>
      <c r="D80" s="70"/>
      <c r="E80" s="3">
        <f>E79+1</f>
        <v>2</v>
      </c>
      <c r="F80" s="15">
        <v>52.1</v>
      </c>
      <c r="G80" s="15">
        <v>1.3</v>
      </c>
      <c r="H80" s="15">
        <f t="shared" ref="H80:H102" si="6">F80-G80</f>
        <v>50.800000000000004</v>
      </c>
      <c r="I80" s="4" t="s">
        <v>20</v>
      </c>
    </row>
    <row r="81" spans="1:10" s="3" customFormat="1" x14ac:dyDescent="0.25">
      <c r="A81" t="s">
        <v>23</v>
      </c>
      <c r="B81" t="str">
        <f t="shared" ref="B81:B107" si="7">B80</f>
        <v>LOMBOK</v>
      </c>
      <c r="C81" s="70" t="s">
        <v>22</v>
      </c>
      <c r="D81" s="70"/>
      <c r="E81" s="3">
        <f t="shared" ref="E81:E107" si="8">E80+1</f>
        <v>3</v>
      </c>
      <c r="F81" s="15">
        <v>48.9</v>
      </c>
      <c r="G81" s="15">
        <v>1</v>
      </c>
      <c r="H81" s="15">
        <f t="shared" si="6"/>
        <v>47.9</v>
      </c>
      <c r="I81" s="4" t="s">
        <v>20</v>
      </c>
      <c r="J81"/>
    </row>
    <row r="82" spans="1:10" s="3" customFormat="1" x14ac:dyDescent="0.25">
      <c r="A82" t="s">
        <v>23</v>
      </c>
      <c r="B82" t="str">
        <f t="shared" si="7"/>
        <v>LOMBOK</v>
      </c>
      <c r="C82" s="70" t="s">
        <v>22</v>
      </c>
      <c r="D82" s="70"/>
      <c r="E82" s="3">
        <f t="shared" si="8"/>
        <v>4</v>
      </c>
      <c r="F82" s="15">
        <v>51</v>
      </c>
      <c r="G82" s="15">
        <v>1.2</v>
      </c>
      <c r="H82" s="15">
        <f t="shared" si="6"/>
        <v>49.8</v>
      </c>
      <c r="I82" s="4" t="s">
        <v>20</v>
      </c>
      <c r="J82"/>
    </row>
    <row r="83" spans="1:10" s="3" customFormat="1" x14ac:dyDescent="0.25">
      <c r="A83" t="s">
        <v>23</v>
      </c>
      <c r="B83" t="str">
        <f t="shared" si="7"/>
        <v>LOMBOK</v>
      </c>
      <c r="C83" s="70" t="s">
        <v>22</v>
      </c>
      <c r="D83" s="70"/>
      <c r="E83" s="3">
        <f t="shared" si="8"/>
        <v>5</v>
      </c>
      <c r="F83" s="15">
        <v>51</v>
      </c>
      <c r="G83" s="15">
        <v>0.9</v>
      </c>
      <c r="H83" s="15">
        <f t="shared" si="6"/>
        <v>50.1</v>
      </c>
      <c r="I83" s="4" t="s">
        <v>20</v>
      </c>
      <c r="J83"/>
    </row>
    <row r="84" spans="1:10" s="3" customFormat="1" x14ac:dyDescent="0.25">
      <c r="A84" t="s">
        <v>23</v>
      </c>
      <c r="B84" t="str">
        <f t="shared" si="7"/>
        <v>LOMBOK</v>
      </c>
      <c r="C84" s="70" t="s">
        <v>22</v>
      </c>
      <c r="D84" s="70"/>
      <c r="E84" s="3">
        <f t="shared" si="8"/>
        <v>6</v>
      </c>
      <c r="F84" s="15">
        <v>49.5</v>
      </c>
      <c r="G84" s="15">
        <v>1</v>
      </c>
      <c r="H84" s="15">
        <f t="shared" si="6"/>
        <v>48.5</v>
      </c>
      <c r="I84" s="4" t="s">
        <v>20</v>
      </c>
      <c r="J84"/>
    </row>
    <row r="85" spans="1:10" s="3" customFormat="1" x14ac:dyDescent="0.25">
      <c r="A85" t="s">
        <v>23</v>
      </c>
      <c r="B85" t="str">
        <f t="shared" si="7"/>
        <v>LOMBOK</v>
      </c>
      <c r="C85" s="70" t="s">
        <v>22</v>
      </c>
      <c r="D85" s="70"/>
      <c r="E85" s="3">
        <f t="shared" si="8"/>
        <v>7</v>
      </c>
      <c r="F85" s="15">
        <v>51.4</v>
      </c>
      <c r="G85" s="15">
        <v>1.1000000000000001</v>
      </c>
      <c r="H85" s="15">
        <f t="shared" si="6"/>
        <v>50.3</v>
      </c>
      <c r="I85" s="4" t="s">
        <v>20</v>
      </c>
      <c r="J85"/>
    </row>
    <row r="86" spans="1:10" s="3" customFormat="1" x14ac:dyDescent="0.25">
      <c r="A86" t="s">
        <v>23</v>
      </c>
      <c r="B86" t="str">
        <f t="shared" si="7"/>
        <v>LOMBOK</v>
      </c>
      <c r="C86" s="70" t="s">
        <v>22</v>
      </c>
      <c r="D86" s="70"/>
      <c r="E86" s="3">
        <f t="shared" si="8"/>
        <v>8</v>
      </c>
      <c r="F86" s="15">
        <v>51.1</v>
      </c>
      <c r="G86" s="15">
        <v>1.1000000000000001</v>
      </c>
      <c r="H86" s="15">
        <f t="shared" si="6"/>
        <v>50</v>
      </c>
      <c r="I86" s="4" t="s">
        <v>20</v>
      </c>
      <c r="J86"/>
    </row>
    <row r="87" spans="1:10" s="3" customFormat="1" x14ac:dyDescent="0.25">
      <c r="A87" t="s">
        <v>23</v>
      </c>
      <c r="B87" t="str">
        <f t="shared" si="7"/>
        <v>LOMBOK</v>
      </c>
      <c r="C87" s="70" t="s">
        <v>22</v>
      </c>
      <c r="D87" s="70"/>
      <c r="E87" s="3">
        <f t="shared" si="8"/>
        <v>9</v>
      </c>
      <c r="F87" s="15">
        <v>51.4</v>
      </c>
      <c r="G87" s="15">
        <v>1.1000000000000001</v>
      </c>
      <c r="H87" s="15">
        <f t="shared" si="6"/>
        <v>50.3</v>
      </c>
      <c r="I87" s="4" t="s">
        <v>20</v>
      </c>
      <c r="J87"/>
    </row>
    <row r="88" spans="1:10" s="3" customFormat="1" x14ac:dyDescent="0.25">
      <c r="A88" t="s">
        <v>23</v>
      </c>
      <c r="B88" t="str">
        <f t="shared" si="7"/>
        <v>LOMBOK</v>
      </c>
      <c r="C88" s="70" t="s">
        <v>22</v>
      </c>
      <c r="D88" s="70"/>
      <c r="E88" s="3">
        <f t="shared" si="8"/>
        <v>10</v>
      </c>
      <c r="F88" s="15">
        <v>52.8</v>
      </c>
      <c r="G88" s="15">
        <v>1.1000000000000001</v>
      </c>
      <c r="H88" s="15">
        <f t="shared" si="6"/>
        <v>51.699999999999996</v>
      </c>
      <c r="I88" s="4" t="s">
        <v>20</v>
      </c>
      <c r="J88"/>
    </row>
    <row r="89" spans="1:10" s="3" customFormat="1" x14ac:dyDescent="0.25">
      <c r="A89" t="s">
        <v>23</v>
      </c>
      <c r="B89" t="str">
        <f t="shared" si="7"/>
        <v>LOMBOK</v>
      </c>
      <c r="C89" s="70" t="s">
        <v>22</v>
      </c>
      <c r="D89" s="70"/>
      <c r="E89" s="3">
        <f t="shared" si="8"/>
        <v>11</v>
      </c>
      <c r="F89" s="15">
        <v>50.7</v>
      </c>
      <c r="G89" s="15">
        <v>1</v>
      </c>
      <c r="H89" s="15">
        <f t="shared" si="6"/>
        <v>49.7</v>
      </c>
      <c r="I89" s="4" t="s">
        <v>20</v>
      </c>
      <c r="J89"/>
    </row>
    <row r="90" spans="1:10" s="3" customFormat="1" x14ac:dyDescent="0.25">
      <c r="A90" t="s">
        <v>23</v>
      </c>
      <c r="B90" t="str">
        <f t="shared" si="7"/>
        <v>LOMBOK</v>
      </c>
      <c r="C90" s="70" t="s">
        <v>22</v>
      </c>
      <c r="D90" s="70"/>
      <c r="E90" s="3">
        <f t="shared" si="8"/>
        <v>12</v>
      </c>
      <c r="F90" s="15">
        <v>51</v>
      </c>
      <c r="G90" s="15">
        <v>1.1000000000000001</v>
      </c>
      <c r="H90" s="15">
        <f t="shared" si="6"/>
        <v>49.9</v>
      </c>
      <c r="I90" s="4" t="s">
        <v>20</v>
      </c>
      <c r="J90"/>
    </row>
    <row r="91" spans="1:10" s="3" customFormat="1" x14ac:dyDescent="0.25">
      <c r="A91" t="s">
        <v>23</v>
      </c>
      <c r="B91" t="str">
        <f t="shared" si="7"/>
        <v>LOMBOK</v>
      </c>
      <c r="C91" s="70" t="s">
        <v>22</v>
      </c>
      <c r="D91" s="70"/>
      <c r="E91" s="3">
        <f t="shared" si="8"/>
        <v>13</v>
      </c>
      <c r="F91" s="15">
        <v>49.7</v>
      </c>
      <c r="G91" s="15">
        <v>1.1000000000000001</v>
      </c>
      <c r="H91" s="15">
        <f t="shared" si="6"/>
        <v>48.6</v>
      </c>
      <c r="I91" s="4" t="s">
        <v>20</v>
      </c>
      <c r="J91"/>
    </row>
    <row r="92" spans="1:10" s="3" customFormat="1" x14ac:dyDescent="0.25">
      <c r="A92" t="s">
        <v>23</v>
      </c>
      <c r="B92" t="str">
        <f t="shared" si="7"/>
        <v>LOMBOK</v>
      </c>
      <c r="C92" s="70" t="s">
        <v>22</v>
      </c>
      <c r="D92" s="70"/>
      <c r="E92" s="3">
        <f t="shared" si="8"/>
        <v>14</v>
      </c>
      <c r="F92" s="15">
        <v>49.1</v>
      </c>
      <c r="G92" s="15">
        <v>1.1000000000000001</v>
      </c>
      <c r="H92" s="15">
        <f t="shared" si="6"/>
        <v>48</v>
      </c>
      <c r="I92" s="4" t="s">
        <v>20</v>
      </c>
      <c r="J92"/>
    </row>
    <row r="93" spans="1:10" s="3" customFormat="1" x14ac:dyDescent="0.25">
      <c r="A93" t="s">
        <v>23</v>
      </c>
      <c r="B93" t="str">
        <f t="shared" si="7"/>
        <v>LOMBOK</v>
      </c>
      <c r="C93" s="70" t="s">
        <v>22</v>
      </c>
      <c r="D93" s="70"/>
      <c r="E93" s="3">
        <f t="shared" si="8"/>
        <v>15</v>
      </c>
      <c r="F93" s="15">
        <v>49.6</v>
      </c>
      <c r="G93" s="15">
        <v>1.1000000000000001</v>
      </c>
      <c r="H93" s="15">
        <f t="shared" si="6"/>
        <v>48.5</v>
      </c>
      <c r="I93" s="4" t="s">
        <v>20</v>
      </c>
      <c r="J93"/>
    </row>
    <row r="94" spans="1:10" s="3" customFormat="1" x14ac:dyDescent="0.25">
      <c r="A94" t="s">
        <v>23</v>
      </c>
      <c r="B94" t="str">
        <f>B86</f>
        <v>LOMBOK</v>
      </c>
      <c r="C94" s="70" t="s">
        <v>22</v>
      </c>
      <c r="D94" s="70"/>
      <c r="E94" s="3">
        <f t="shared" si="8"/>
        <v>16</v>
      </c>
      <c r="F94" s="15">
        <v>45</v>
      </c>
      <c r="G94" s="15">
        <v>1.1000000000000001</v>
      </c>
      <c r="H94" s="15">
        <f t="shared" ref="H94:H95" si="9">F94-G94</f>
        <v>43.9</v>
      </c>
      <c r="I94" s="4" t="s">
        <v>20</v>
      </c>
      <c r="J94"/>
    </row>
    <row r="95" spans="1:10" s="3" customFormat="1" x14ac:dyDescent="0.25">
      <c r="A95" t="s">
        <v>23</v>
      </c>
      <c r="B95" t="str">
        <f t="shared" si="7"/>
        <v>LOMBOK</v>
      </c>
      <c r="C95" s="70" t="s">
        <v>22</v>
      </c>
      <c r="D95" s="70"/>
      <c r="E95" s="3">
        <f t="shared" si="8"/>
        <v>17</v>
      </c>
      <c r="F95" s="15">
        <v>49.6</v>
      </c>
      <c r="G95" s="15">
        <v>1</v>
      </c>
      <c r="H95" s="15">
        <f t="shared" si="9"/>
        <v>48.6</v>
      </c>
      <c r="I95" s="4" t="s">
        <v>20</v>
      </c>
      <c r="J95"/>
    </row>
    <row r="96" spans="1:10" s="3" customFormat="1" x14ac:dyDescent="0.25">
      <c r="A96" t="s">
        <v>23</v>
      </c>
      <c r="B96" t="str">
        <f t="shared" si="7"/>
        <v>LOMBOK</v>
      </c>
      <c r="C96" s="70" t="s">
        <v>22</v>
      </c>
      <c r="D96" s="70"/>
      <c r="E96" s="3">
        <f t="shared" si="8"/>
        <v>18</v>
      </c>
      <c r="F96" s="15">
        <v>52.9</v>
      </c>
      <c r="G96" s="15">
        <v>1.1000000000000001</v>
      </c>
      <c r="H96" s="15">
        <f>F96-G96</f>
        <v>51.8</v>
      </c>
      <c r="I96" s="4" t="s">
        <v>20</v>
      </c>
      <c r="J96"/>
    </row>
    <row r="97" spans="1:10" x14ac:dyDescent="0.25">
      <c r="A97" t="s">
        <v>23</v>
      </c>
      <c r="B97" t="str">
        <f t="shared" si="7"/>
        <v>LOMBOK</v>
      </c>
      <c r="C97" s="70" t="s">
        <v>22</v>
      </c>
      <c r="D97" s="70"/>
      <c r="E97" s="3">
        <f t="shared" si="8"/>
        <v>19</v>
      </c>
      <c r="F97" s="15">
        <v>53.7</v>
      </c>
      <c r="G97" s="15">
        <v>1.2</v>
      </c>
      <c r="H97" s="15">
        <f t="shared" ref="H97:H100" si="10">F97-G97</f>
        <v>52.5</v>
      </c>
      <c r="I97" s="4" t="s">
        <v>20</v>
      </c>
    </row>
    <row r="98" spans="1:10" x14ac:dyDescent="0.25">
      <c r="A98" t="s">
        <v>23</v>
      </c>
      <c r="B98" t="str">
        <f t="shared" si="7"/>
        <v>LOMBOK</v>
      </c>
      <c r="C98" s="70" t="s">
        <v>22</v>
      </c>
      <c r="D98" s="70"/>
      <c r="E98" s="3">
        <f t="shared" si="8"/>
        <v>20</v>
      </c>
      <c r="F98" s="15">
        <v>51.4</v>
      </c>
      <c r="G98" s="15">
        <v>1.1000000000000001</v>
      </c>
      <c r="H98" s="15">
        <f t="shared" si="10"/>
        <v>50.3</v>
      </c>
      <c r="I98" s="4" t="s">
        <v>20</v>
      </c>
    </row>
    <row r="99" spans="1:10" x14ac:dyDescent="0.25">
      <c r="A99" t="s">
        <v>23</v>
      </c>
      <c r="B99" t="str">
        <f t="shared" si="7"/>
        <v>LOMBOK</v>
      </c>
      <c r="C99" s="70" t="s">
        <v>22</v>
      </c>
      <c r="D99" s="70"/>
      <c r="E99" s="3">
        <f t="shared" si="8"/>
        <v>21</v>
      </c>
      <c r="F99" s="15">
        <v>49.7</v>
      </c>
      <c r="G99" s="15">
        <v>1.1000000000000001</v>
      </c>
      <c r="H99" s="15">
        <f t="shared" si="10"/>
        <v>48.6</v>
      </c>
      <c r="I99" s="4" t="s">
        <v>20</v>
      </c>
    </row>
    <row r="100" spans="1:10" x14ac:dyDescent="0.25">
      <c r="A100" t="s">
        <v>23</v>
      </c>
      <c r="B100" t="str">
        <f t="shared" si="7"/>
        <v>LOMBOK</v>
      </c>
      <c r="C100" s="70" t="s">
        <v>22</v>
      </c>
      <c r="D100" s="70"/>
      <c r="E100" s="3">
        <f t="shared" si="8"/>
        <v>22</v>
      </c>
      <c r="F100" s="15">
        <v>52.1</v>
      </c>
      <c r="G100" s="15">
        <v>1</v>
      </c>
      <c r="H100" s="15">
        <f t="shared" si="10"/>
        <v>51.1</v>
      </c>
      <c r="I100" s="4" t="s">
        <v>20</v>
      </c>
    </row>
    <row r="101" spans="1:10" s="3" customFormat="1" x14ac:dyDescent="0.25">
      <c r="A101" t="s">
        <v>23</v>
      </c>
      <c r="B101" t="str">
        <f>B93</f>
        <v>LOMBOK</v>
      </c>
      <c r="C101" s="70" t="s">
        <v>22</v>
      </c>
      <c r="D101" s="70"/>
      <c r="E101" s="3">
        <f t="shared" si="8"/>
        <v>23</v>
      </c>
      <c r="F101" s="15">
        <v>48.1</v>
      </c>
      <c r="G101" s="15">
        <v>1</v>
      </c>
      <c r="H101" s="15">
        <f t="shared" si="6"/>
        <v>47.1</v>
      </c>
      <c r="I101" s="4" t="s">
        <v>20</v>
      </c>
      <c r="J101"/>
    </row>
    <row r="102" spans="1:10" s="3" customFormat="1" x14ac:dyDescent="0.25">
      <c r="A102" t="s">
        <v>23</v>
      </c>
      <c r="B102" t="str">
        <f t="shared" si="7"/>
        <v>LOMBOK</v>
      </c>
      <c r="C102" s="70" t="s">
        <v>22</v>
      </c>
      <c r="D102" s="70"/>
      <c r="E102" s="3">
        <f t="shared" si="8"/>
        <v>24</v>
      </c>
      <c r="F102" s="15">
        <v>53.4</v>
      </c>
      <c r="G102" s="15">
        <v>1.2</v>
      </c>
      <c r="H102" s="15">
        <f t="shared" si="6"/>
        <v>52.199999999999996</v>
      </c>
      <c r="I102" s="4" t="s">
        <v>20</v>
      </c>
      <c r="J102"/>
    </row>
    <row r="103" spans="1:10" s="3" customFormat="1" x14ac:dyDescent="0.25">
      <c r="A103" t="s">
        <v>23</v>
      </c>
      <c r="B103" t="str">
        <f t="shared" si="7"/>
        <v>LOMBOK</v>
      </c>
      <c r="C103" s="70" t="s">
        <v>22</v>
      </c>
      <c r="D103" s="70"/>
      <c r="E103" s="3">
        <f t="shared" si="8"/>
        <v>25</v>
      </c>
      <c r="F103" s="15">
        <v>50.7</v>
      </c>
      <c r="G103" s="15">
        <v>1.9</v>
      </c>
      <c r="H103" s="15">
        <f>F103-G103</f>
        <v>48.800000000000004</v>
      </c>
      <c r="I103" s="4" t="s">
        <v>20</v>
      </c>
      <c r="J103"/>
    </row>
    <row r="104" spans="1:10" x14ac:dyDescent="0.25">
      <c r="A104" t="s">
        <v>23</v>
      </c>
      <c r="B104" t="str">
        <f t="shared" si="7"/>
        <v>LOMBOK</v>
      </c>
      <c r="C104" s="70" t="s">
        <v>22</v>
      </c>
      <c r="D104" s="70"/>
      <c r="E104" s="3">
        <f t="shared" si="8"/>
        <v>26</v>
      </c>
      <c r="F104" s="15">
        <v>53.4</v>
      </c>
      <c r="G104" s="15">
        <v>1.9</v>
      </c>
      <c r="H104" s="15">
        <f t="shared" ref="H104:H107" si="11">F104-G104</f>
        <v>51.5</v>
      </c>
      <c r="I104" s="4" t="s">
        <v>20</v>
      </c>
    </row>
    <row r="105" spans="1:10" x14ac:dyDescent="0.25">
      <c r="A105" t="s">
        <v>23</v>
      </c>
      <c r="B105" t="str">
        <f t="shared" si="7"/>
        <v>LOMBOK</v>
      </c>
      <c r="C105" s="70" t="s">
        <v>22</v>
      </c>
      <c r="D105" s="70"/>
      <c r="E105" s="3">
        <f t="shared" si="8"/>
        <v>27</v>
      </c>
      <c r="F105" s="15">
        <v>50.6</v>
      </c>
      <c r="G105" s="15">
        <v>1.9</v>
      </c>
      <c r="H105" s="15">
        <f t="shared" si="11"/>
        <v>48.7</v>
      </c>
      <c r="I105" s="4" t="s">
        <v>20</v>
      </c>
    </row>
    <row r="106" spans="1:10" x14ac:dyDescent="0.25">
      <c r="A106" t="s">
        <v>23</v>
      </c>
      <c r="B106" t="str">
        <f t="shared" si="7"/>
        <v>LOMBOK</v>
      </c>
      <c r="C106" s="70" t="s">
        <v>22</v>
      </c>
      <c r="D106" s="70"/>
      <c r="E106" s="3">
        <f t="shared" si="8"/>
        <v>28</v>
      </c>
      <c r="F106" s="15">
        <v>50.3</v>
      </c>
      <c r="G106" s="15">
        <v>1.3</v>
      </c>
      <c r="H106" s="15">
        <f t="shared" ref="H106" si="12">F106-G106</f>
        <v>49</v>
      </c>
      <c r="I106" s="4" t="s">
        <v>20</v>
      </c>
    </row>
    <row r="107" spans="1:10" ht="15.75" thickBot="1" x14ac:dyDescent="0.3">
      <c r="A107" t="s">
        <v>23</v>
      </c>
      <c r="B107" t="str">
        <f t="shared" si="7"/>
        <v>LOMBOK</v>
      </c>
      <c r="C107" s="70" t="s">
        <v>22</v>
      </c>
      <c r="D107" s="70"/>
      <c r="E107" s="3">
        <f t="shared" si="8"/>
        <v>29</v>
      </c>
      <c r="F107" s="15">
        <v>10</v>
      </c>
      <c r="G107" s="15">
        <v>0.2</v>
      </c>
      <c r="H107" s="15">
        <f t="shared" si="11"/>
        <v>9.8000000000000007</v>
      </c>
      <c r="I107" s="4" t="s">
        <v>42</v>
      </c>
    </row>
    <row r="108" spans="1:10" ht="16.5" thickTop="1" thickBot="1" x14ac:dyDescent="0.3">
      <c r="A108" s="75" t="s">
        <v>27</v>
      </c>
      <c r="B108" s="75"/>
      <c r="C108" s="75"/>
      <c r="D108" s="75"/>
      <c r="E108" s="12">
        <f>E107</f>
        <v>29</v>
      </c>
      <c r="F108" s="14">
        <f>SUM(F79:F107)</f>
        <v>1433.9</v>
      </c>
      <c r="G108" s="14">
        <f>SUM(G79:G107)</f>
        <v>33.200000000000003</v>
      </c>
      <c r="H108" s="14">
        <f>SUM(H79:H107)</f>
        <v>1400.6999999999996</v>
      </c>
      <c r="I108" s="13"/>
    </row>
    <row r="109" spans="1:10" ht="15.75" thickTop="1" x14ac:dyDescent="0.25"/>
    <row r="110" spans="1:10" ht="15.75" thickBot="1" x14ac:dyDescent="0.3">
      <c r="A110" s="1" t="s">
        <v>29</v>
      </c>
    </row>
    <row r="111" spans="1:10" ht="45.75" thickBot="1" x14ac:dyDescent="0.3">
      <c r="A111" s="9" t="s">
        <v>7</v>
      </c>
      <c r="B111" s="9" t="s">
        <v>2</v>
      </c>
      <c r="C111" s="73" t="s">
        <v>6</v>
      </c>
      <c r="D111" s="73"/>
      <c r="E111" s="11" t="s">
        <v>30</v>
      </c>
      <c r="F111" s="11" t="s">
        <v>31</v>
      </c>
      <c r="G111" s="11" t="s">
        <v>32</v>
      </c>
      <c r="H111" s="11" t="s">
        <v>33</v>
      </c>
      <c r="I111" s="11" t="s">
        <v>37</v>
      </c>
    </row>
    <row r="112" spans="1:10" ht="16.5" thickTop="1" thickBot="1" x14ac:dyDescent="0.3">
      <c r="A112" t="s">
        <v>23</v>
      </c>
      <c r="B112" t="str">
        <f>B79</f>
        <v>LOMBOK</v>
      </c>
      <c r="C112" s="76" t="str">
        <f>C79</f>
        <v>Ball Goni</v>
      </c>
      <c r="D112" s="76"/>
      <c r="E112" s="15">
        <v>1029.5</v>
      </c>
      <c r="F112" s="15">
        <v>331.6</v>
      </c>
      <c r="G112" s="15">
        <v>26.2</v>
      </c>
      <c r="H112" s="15">
        <f>IF(E112="","",(H108-E112-F112-G112))</f>
        <v>13.399999999999569</v>
      </c>
      <c r="I112" s="15">
        <f>IF(E112="","",SUM(E112:H112))</f>
        <v>1400.6999999999996</v>
      </c>
    </row>
    <row r="113" spans="1:9" ht="16.5" thickTop="1" thickBot="1" x14ac:dyDescent="0.3">
      <c r="A113" s="77" t="s">
        <v>52</v>
      </c>
      <c r="B113" s="77"/>
      <c r="C113" s="77"/>
      <c r="D113" s="77"/>
      <c r="E113" s="20">
        <f>IF(E112="","",E112/$H108)</f>
        <v>0.7349896480331265</v>
      </c>
      <c r="F113" s="32">
        <f>IF(F112="","",F112/$H108)</f>
        <v>0.23673877347040773</v>
      </c>
      <c r="G113" s="32">
        <f t="shared" ref="G113:H113" si="13">IF(G112="","",G112/$H108)</f>
        <v>1.8704933247661888E-2</v>
      </c>
      <c r="H113" s="32">
        <f t="shared" si="13"/>
        <v>9.566645248803865E-3</v>
      </c>
      <c r="I113" s="17">
        <f>IF(I112="","",SUM(E113:H113))</f>
        <v>1</v>
      </c>
    </row>
    <row r="114" spans="1:9" ht="10.5" customHeight="1" thickTop="1" x14ac:dyDescent="0.25">
      <c r="A114" s="19" t="s">
        <v>16</v>
      </c>
    </row>
    <row r="115" spans="1:9" ht="10.5" customHeight="1" x14ac:dyDescent="0.25">
      <c r="A115" s="7" t="s">
        <v>36</v>
      </c>
    </row>
    <row r="116" spans="1:9" ht="10.5" customHeight="1" x14ac:dyDescent="0.25">
      <c r="A116" s="7" t="s">
        <v>35</v>
      </c>
    </row>
    <row r="117" spans="1:9" ht="10.5" customHeight="1" x14ac:dyDescent="0.25">
      <c r="A117" s="7" t="s">
        <v>34</v>
      </c>
    </row>
    <row r="118" spans="1:9" ht="10.5" customHeight="1" x14ac:dyDescent="0.25">
      <c r="A118" s="7" t="s">
        <v>50</v>
      </c>
    </row>
  </sheetData>
  <mergeCells count="79">
    <mergeCell ref="C26:D26"/>
    <mergeCell ref="C27:D27"/>
    <mergeCell ref="C28:D28"/>
    <mergeCell ref="A1:I1"/>
    <mergeCell ref="A23:I23"/>
    <mergeCell ref="C40:D40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63:D63"/>
    <mergeCell ref="C64:D64"/>
    <mergeCell ref="A65:D65"/>
    <mergeCell ref="C62:D62"/>
    <mergeCell ref="C41:D41"/>
    <mergeCell ref="C42:D42"/>
    <mergeCell ref="C43:D43"/>
    <mergeCell ref="C44:D44"/>
    <mergeCell ref="C45:D45"/>
    <mergeCell ref="C46:D46"/>
    <mergeCell ref="C57:D57"/>
    <mergeCell ref="C58:D58"/>
    <mergeCell ref="C59:D59"/>
    <mergeCell ref="C60:D60"/>
    <mergeCell ref="C61:D61"/>
    <mergeCell ref="C99:D99"/>
    <mergeCell ref="C100:D100"/>
    <mergeCell ref="C87:D87"/>
    <mergeCell ref="C88:D88"/>
    <mergeCell ref="C89:D89"/>
    <mergeCell ref="C90:D90"/>
    <mergeCell ref="C91:D91"/>
    <mergeCell ref="C92:D92"/>
    <mergeCell ref="C98:D98"/>
    <mergeCell ref="C94:D94"/>
    <mergeCell ref="C95:D95"/>
    <mergeCell ref="C96:D96"/>
    <mergeCell ref="C97:D97"/>
    <mergeCell ref="C93:D93"/>
    <mergeCell ref="C101:D101"/>
    <mergeCell ref="C102:D102"/>
    <mergeCell ref="C103:D103"/>
    <mergeCell ref="C104:D104"/>
    <mergeCell ref="C105:D105"/>
    <mergeCell ref="A113:D113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106:D106"/>
    <mergeCell ref="C107:D107"/>
    <mergeCell ref="A108:D108"/>
    <mergeCell ref="C111:D111"/>
    <mergeCell ref="C112:D112"/>
    <mergeCell ref="C56:D56"/>
    <mergeCell ref="C86:D86"/>
    <mergeCell ref="C68:D68"/>
    <mergeCell ref="C69:D69"/>
    <mergeCell ref="A70:D70"/>
    <mergeCell ref="C78:D78"/>
    <mergeCell ref="C81:D81"/>
    <mergeCell ref="C82:D82"/>
    <mergeCell ref="C83:D83"/>
    <mergeCell ref="C84:D84"/>
    <mergeCell ref="C85:D85"/>
    <mergeCell ref="C79:D79"/>
    <mergeCell ref="C80:D80"/>
  </mergeCells>
  <conditionalFormatting sqref="I17:I18">
    <cfRule type="cellIs" dxfId="2" priority="1" operator="equal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pageMargins left="0" right="0" top="0" bottom="0" header="0" footer="0"/>
  <pageSetup paperSize="2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By Product</vt:lpstr>
      <vt:lpstr>AVG</vt:lpstr>
      <vt:lpstr>SPR Batch 1</vt:lpstr>
      <vt:lpstr>SPR Batch 2</vt:lpstr>
      <vt:lpstr>SPR Batch 3 </vt:lpstr>
      <vt:lpstr>SPR Batch 4 </vt:lpstr>
      <vt:lpstr>SPR Batch 5</vt:lpstr>
      <vt:lpstr>SPR Batch6</vt:lpstr>
      <vt:lpstr>SPR Batch 7</vt:lpstr>
      <vt:lpstr>SPR Batch8</vt:lpstr>
      <vt:lpstr>SPR Batch9</vt:lpstr>
      <vt:lpstr>SPR Batch10</vt:lpstr>
      <vt:lpstr>SPR Batch11</vt:lpstr>
      <vt:lpstr>SPR Batch12</vt:lpstr>
      <vt:lpstr>SPR Batch13</vt:lpstr>
      <vt:lpstr>SPR Batch14</vt:lpstr>
      <vt:lpstr>SPR Batch15</vt:lpstr>
      <vt:lpstr>SPR Batch16</vt:lpstr>
      <vt:lpstr>SPR Batch17</vt:lpstr>
      <vt:lpstr>SPR Batch18</vt:lpstr>
      <vt:lpstr>SPR Batch19</vt:lpstr>
      <vt:lpstr>SPR Batch20</vt:lpstr>
      <vt:lpstr>SPR Batch21</vt:lpstr>
      <vt:lpstr>SPR Batch22</vt:lpstr>
      <vt:lpstr>SPR Batch23</vt:lpstr>
      <vt:lpstr>SPR Batch24</vt:lpstr>
      <vt:lpstr>SPR Batch25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2026-07-29T13:44:07Z</cp:lastPrinted>
  <dcterms:created xsi:type="dcterms:W3CDTF">2026-06-08T11:59:58Z</dcterms:created>
  <dcterms:modified xsi:type="dcterms:W3CDTF">2026-08-03T15:37:27Z</dcterms:modified>
</cp:coreProperties>
</file>